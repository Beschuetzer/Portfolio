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Grading Charts" sheetId="1" state="visible" r:id="rId3"/>
    <sheet name="Grader" sheetId="2" state="visible" r:id="rId4"/>
    <sheet name="Archiver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<sst xmlns="http://schemas.openxmlformats.org/spreadsheetml/2006/main" count="350" uniqueCount="108">
  <si>
    <t xml:space="preserve">Name</t>
  </si>
  <si>
    <t xml:space="preserve">Standards</t>
  </si>
  <si>
    <t xml:space="preserve">Totals</t>
  </si>
  <si>
    <t xml:space="preserve">U4 Assess.</t>
  </si>
  <si>
    <t xml:space="preserve">MD.7,MD.7,MD.7,NBT.1,NBT.1,NBT.1,MD.1,MD.1</t>
  </si>
  <si>
    <t xml:space="preserve"> 6, 4, 4, 2, 3, 3, 2, 2</t>
  </si>
  <si>
    <t xml:space="preserve">U4 Cum. Assess.</t>
  </si>
  <si>
    <t xml:space="preserve">MD.7,OA,OA,MD.7,MD.7,MD.7,NBT,OA</t>
  </si>
  <si>
    <t xml:space="preserve"> 4, 3, 3, 4, 1, 1, 8, 2</t>
  </si>
  <si>
    <t xml:space="preserve">Name:</t>
  </si>
  <si>
    <t xml:space="preserve">Unit:</t>
  </si>
  <si>
    <t xml:space="preserve">Ace J.</t>
  </si>
  <si>
    <t xml:space="preserve">Kekai A-R</t>
  </si>
  <si>
    <t xml:space="preserve">Item</t>
  </si>
  <si>
    <t xml:space="preserve">CCSS Standard</t>
  </si>
  <si>
    <t xml:space="preserve">Correct</t>
  </si>
  <si>
    <t xml:space="preserve">Total</t>
  </si>
  <si>
    <t xml:space="preserve">Percent</t>
  </si>
  <si>
    <t xml:space="preserve">Strand</t>
  </si>
  <si>
    <t xml:space="preserve">Grade</t>
  </si>
  <si>
    <t xml:space="preserve">Benjamin S.</t>
  </si>
  <si>
    <t xml:space="preserve">Lana B.</t>
  </si>
  <si>
    <t xml:space="preserve">MD.7</t>
  </si>
  <si>
    <t xml:space="preserve">OA</t>
  </si>
  <si>
    <t xml:space="preserve">Brayden L.</t>
  </si>
  <si>
    <t xml:space="preserve">Jaydah C.</t>
  </si>
  <si>
    <t xml:space="preserve">NBT</t>
  </si>
  <si>
    <t xml:space="preserve">Brennen J-C</t>
  </si>
  <si>
    <t xml:space="preserve">Hezekiah C.</t>
  </si>
  <si>
    <t xml:space="preserve">MD</t>
  </si>
  <si>
    <t xml:space="preserve">Dre J.</t>
  </si>
  <si>
    <t xml:space="preserve">Ian E.</t>
  </si>
  <si>
    <t xml:space="preserve">NBT.1</t>
  </si>
  <si>
    <t xml:space="preserve">Composite</t>
  </si>
  <si>
    <t xml:space="preserve">Dylan K.</t>
  </si>
  <si>
    <t xml:space="preserve">Gavin G.</t>
  </si>
  <si>
    <t xml:space="preserve">Ezekiel</t>
  </si>
  <si>
    <t xml:space="preserve">Fenua L-C (Hayzen)</t>
  </si>
  <si>
    <t xml:space="preserve">MD.1</t>
  </si>
  <si>
    <t xml:space="preserve">Open Response</t>
  </si>
  <si>
    <t xml:space="preserve">Reese K.</t>
  </si>
  <si>
    <t xml:space="preserve">Correct </t>
  </si>
  <si>
    <t xml:space="preserve">Kamahina K.</t>
  </si>
  <si>
    <t xml:space="preserve">MD.6 &amp; SMP2</t>
  </si>
  <si>
    <t xml:space="preserve">Naizha-Rae L-M</t>
  </si>
  <si>
    <t xml:space="preserve">Kawika S.</t>
  </si>
  <si>
    <t xml:space="preserve">Kekapa L.</t>
  </si>
  <si>
    <t xml:space="preserve">Praises M-L</t>
  </si>
  <si>
    <t xml:space="preserve">Kiana</t>
  </si>
  <si>
    <t xml:space="preserve">Nu'utea M.</t>
  </si>
  <si>
    <t xml:space="preserve">Lahela</t>
  </si>
  <si>
    <t xml:space="preserve">Ricardo P-J</t>
  </si>
  <si>
    <t xml:space="preserve">Noland R.</t>
  </si>
  <si>
    <t xml:space="preserve">Lihipali T.</t>
  </si>
  <si>
    <t xml:space="preserve">Noah R.</t>
  </si>
  <si>
    <t xml:space="preserve">Michaela R.</t>
  </si>
  <si>
    <t xml:space="preserve">Shaela-Ann(Mia) S.</t>
  </si>
  <si>
    <t xml:space="preserve">Te'zan T.</t>
  </si>
  <si>
    <t xml:space="preserve">Grade 2 - Cortez</t>
  </si>
  <si>
    <t xml:space="preserve">U1</t>
  </si>
  <si>
    <t xml:space="preserve">U2</t>
  </si>
  <si>
    <t xml:space="preserve">U2 Cum.</t>
  </si>
  <si>
    <t xml:space="preserve">U3</t>
  </si>
  <si>
    <t xml:space="preserve">U2, U2 Cum., + 
U3 Composite</t>
  </si>
  <si>
    <t xml:space="preserve">Lydia's column</t>
  </si>
  <si>
    <t xml:space="preserve">Unit 4
Assessment</t>
  </si>
  <si>
    <t xml:space="preserve">Unit 4
Cumulative</t>
  </si>
  <si>
    <t xml:space="preserve">U4 Composite</t>
  </si>
  <si>
    <t xml:space="preserve">ID#</t>
  </si>
  <si>
    <t xml:space="preserve">Students</t>
  </si>
  <si>
    <t xml:space="preserve">EOY 
Composite</t>
  </si>
  <si>
    <t xml:space="preserve">Fluency BASELINE</t>
  </si>
  <si>
    <t xml:space="preserve">Open Response MD.6,SMP2</t>
  </si>
  <si>
    <t xml:space="preserve">Open Response OA.2, SMP3</t>
  </si>
  <si>
    <t xml:space="preserve">OA Grade</t>
  </si>
  <si>
    <t xml:space="preserve">NBT Grade</t>
  </si>
  <si>
    <t xml:space="preserve">MD Grade</t>
  </si>
  <si>
    <t xml:space="preserve">Open Response Grade</t>
  </si>
  <si>
    <t xml:space="preserve">Data for Title 1 report</t>
  </si>
  <si>
    <t xml:space="preserve">SMP</t>
  </si>
  <si>
    <t xml:space="preserve">Unit 4
 Composite</t>
  </si>
  <si>
    <t xml:space="preserve">SMP6</t>
  </si>
  <si>
    <r>
      <rPr>
        <b val="true"/>
        <i val="true"/>
        <sz val="14"/>
        <color rgb="FF000000"/>
        <rFont val="Arial"/>
        <family val="2"/>
        <charset val="1"/>
      </rPr>
      <t xml:space="preserve">Unit 4 </t>
    </r>
    <r>
      <rPr>
        <sz val="12"/>
        <rFont val="Helvetica Neue"/>
        <family val="0"/>
        <charset val="1"/>
      </rPr>
      <t xml:space="preserve">Cumulative 
</t>
    </r>
    <r>
      <rPr>
        <sz val="11"/>
        <color rgb="FF000000"/>
        <rFont val="Calibri"/>
        <family val="2"/>
        <charset val="1"/>
      </rPr>
      <t xml:space="preserve">Composite</t>
    </r>
  </si>
  <si>
    <t xml:space="preserve">Fluency</t>
  </si>
  <si>
    <t xml:space="preserve">OA Composite %</t>
  </si>
  <si>
    <t xml:space="preserve">OA Composite Grade</t>
  </si>
  <si>
    <t xml:space="preserve">NBT Composite %</t>
  </si>
  <si>
    <t xml:space="preserve">MD Composite %</t>
  </si>
  <si>
    <t xml:space="preserve">SMP1,2,3,6,7,8</t>
  </si>
  <si>
    <t xml:space="preserve">%</t>
  </si>
  <si>
    <t xml:space="preserve">/6</t>
  </si>
  <si>
    <t xml:space="preserve">/33</t>
  </si>
  <si>
    <t xml:space="preserve">/8</t>
  </si>
  <si>
    <t xml:space="preserve">/4</t>
  </si>
  <si>
    <t xml:space="preserve">/21</t>
  </si>
  <si>
    <t xml:space="preserve">/27</t>
  </si>
  <si>
    <t xml:space="preserve">/1</t>
  </si>
  <si>
    <t xml:space="preserve">/20</t>
  </si>
  <si>
    <t xml:space="preserve">/62</t>
  </si>
  <si>
    <t xml:space="preserve">/</t>
  </si>
  <si>
    <t xml:space="preserve">Jane Doe</t>
  </si>
  <si>
    <t xml:space="preserve">WB</t>
  </si>
  <si>
    <t xml:space="preserve">MP</t>
  </si>
  <si>
    <t xml:space="preserve">ME</t>
  </si>
  <si>
    <t xml:space="preserve">DP</t>
  </si>
  <si>
    <t xml:space="preserve">Average</t>
  </si>
  <si>
    <t xml:space="preserve"># PROFICIENT</t>
  </si>
  <si>
    <t xml:space="preserve">% PROFICIENCY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</si>
</sst>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%"/>
    <numFmt numFmtId="166" formatCode="General"/>
    <numFmt numFmtId="167" formatCode="0"/>
  </numFmts>
  <fonts count="2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Helvetica Neue"/>
      <family val="0"/>
      <charset val="1"/>
    </font>
    <font>
      <b val="true"/>
      <sz val="14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trike val="true"/>
      <sz val="11"/>
      <color rgb="FF000000"/>
      <name val="Calibri"/>
      <family val="2"/>
      <charset val="1"/>
    </font>
    <font>
      <b val="true"/>
      <sz val="14"/>
      <color rgb="FF000000"/>
      <name val="Arial"/>
      <family val="2"/>
      <charset val="1"/>
    </font>
    <font>
      <b val="true"/>
      <i val="true"/>
      <sz val="8"/>
      <color rgb="FF000000"/>
      <name val="Arial"/>
      <family val="2"/>
      <charset val="1"/>
    </font>
    <font>
      <b val="true"/>
      <i val="true"/>
      <sz val="10"/>
      <color rgb="FF000000"/>
      <name val="Arial"/>
      <family val="2"/>
      <charset val="1"/>
    </font>
    <font>
      <b val="true"/>
      <i val="true"/>
      <sz val="14"/>
      <color rgb="FF000000"/>
      <name val="Arial"/>
      <family val="2"/>
      <charset val="1"/>
    </font>
    <font>
      <sz val="12"/>
      <name val="Helvetica Neue"/>
      <family val="0"/>
      <charset val="1"/>
    </font>
    <font>
      <b val="true"/>
      <sz val="11"/>
      <name val="Arial Narrow"/>
      <family val="2"/>
      <charset val="1"/>
    </font>
    <font>
      <b val="true"/>
      <sz val="11"/>
      <color rgb="FF000000"/>
      <name val="Helvetica Neue"/>
      <family val="0"/>
      <charset val="1"/>
    </font>
    <font>
      <b val="true"/>
      <sz val="11"/>
      <name val="Helvetica Neue"/>
      <family val="0"/>
      <charset val="1"/>
    </font>
    <font>
      <sz val="11"/>
      <name val="Arial Narrow"/>
      <family val="2"/>
      <charset val="1"/>
    </font>
    <font>
      <sz val="10"/>
      <color rgb="FF000000"/>
      <name val="Arial"/>
      <family val="2"/>
      <charset val="1"/>
    </font>
    <font>
      <sz val="11"/>
      <name val="Helvetica Neue"/>
      <family val="0"/>
      <charset val="1"/>
    </font>
    <font>
      <sz val="11"/>
      <name val="&quot;Helvetica Neue&quot;"/>
      <family val="0"/>
      <charset val="1"/>
    </font>
    <font>
      <sz val="9"/>
      <name val="Helvetica Neue"/>
      <family val="0"/>
      <charset val="1"/>
    </font>
    <font>
      <sz val="12"/>
      <color rgb="FF00000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E599"/>
        <bgColor rgb="FFFFD966"/>
      </patternFill>
    </fill>
    <fill>
      <patternFill patternType="solid">
        <fgColor rgb="FF6FA8DC"/>
        <bgColor rgb="FF969696"/>
      </patternFill>
    </fill>
    <fill>
      <patternFill patternType="solid">
        <fgColor rgb="FFFFD966"/>
        <bgColor rgb="FFFFE599"/>
      </patternFill>
    </fill>
    <fill>
      <patternFill patternType="solid">
        <fgColor rgb="FFD5A6BD"/>
        <bgColor rgb="FFCC99FF"/>
      </patternFill>
    </fill>
    <fill>
      <patternFill patternType="solid">
        <fgColor rgb="FF9FC5E8"/>
        <bgColor rgb="FFCCCC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6" fillId="0" borderId="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7" fillId="0" borderId="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0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0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3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4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3" borderId="4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4" borderId="4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5" borderId="5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6" borderId="5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7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3" borderId="5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7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2" borderId="1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1" fillId="2" borderId="1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1" fillId="3" borderId="1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1" fillId="4" borderId="1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1" fillId="5" borderId="1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1" fillId="6" borderId="1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3" fillId="7" borderId="1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1" fillId="7" borderId="1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3" fillId="7" borderId="1" xfId="2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13" fillId="3" borderId="1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3" fillId="3" borderId="1" xfId="2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11" fillId="7" borderId="6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1" fillId="7" borderId="7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8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3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3" borderId="5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5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5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6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7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7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3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3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3" borderId="5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7" borderId="5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7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9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6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20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7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20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3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20" fillId="3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20" fillId="3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3" fillId="3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3" fillId="4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3" fillId="5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3" fillId="6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7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1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3" fillId="7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0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1" fillId="3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0" fillId="3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7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0" fillId="7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3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6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23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23" fillId="6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9" fillId="0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9" fillId="6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9" fillId="2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5A6BD"/>
      <rgbColor rgb="FF808080"/>
      <rgbColor rgb="FF6FA8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D966"/>
      <rgbColor rgb="FF9FC5E8"/>
      <rgbColor rgb="FFFF99CC"/>
      <rgbColor rgb="FFCC99FF"/>
      <rgbColor rgb="FFFFE5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8.87890625" defaultRowHeight="14.4" zeroHeight="false" outlineLevelRow="0" outlineLevelCol="0"/>
  <cols>
    <col collapsed="false" customWidth="true" hidden="false" outlineLevel="0" max="1" min="1" style="1" width="18.67"/>
    <col collapsed="false" customWidth="true" hidden="false" outlineLevel="0" max="2" min="2" style="1" width="48.11"/>
    <col collapsed="false" customWidth="true" hidden="false" outlineLevel="0" max="3" min="3" style="1" width="15.77"/>
    <col collapsed="false" customWidth="false" hidden="false" outlineLevel="0" max="1024" min="4" style="1" width="8.88"/>
  </cols>
  <sheetData>
    <row r="1" customFormat="false" ht="18" hidden="false" customHeight="false" outlineLevel="0" collapsed="false">
      <c r="A1" s="2" t="s">
        <v>0</v>
      </c>
      <c r="B1" s="2" t="s">
        <v>1</v>
      </c>
      <c r="C1" s="2" t="s">
        <v>2</v>
      </c>
    </row>
    <row r="2" customFormat="false" ht="14.4" hidden="false" customHeight="false" outlineLevel="0" collapsed="false">
      <c r="A2" s="1" t="s">
        <v>3</v>
      </c>
      <c r="B2" s="1" t="s">
        <v>4</v>
      </c>
      <c r="C2" s="1" t="s">
        <v>5</v>
      </c>
    </row>
    <row r="3" customFormat="false" ht="14.4" hidden="false" customHeight="false" outlineLevel="0" collapsed="false">
      <c r="A3" s="1" t="s">
        <v>6</v>
      </c>
      <c r="B3" s="1" t="s">
        <v>7</v>
      </c>
      <c r="C3" s="1" t="s">
        <v>8</v>
      </c>
    </row>
  </sheetData>
  <sheetProtection sheet="true" objects="true" scenarios="true" selectLockedCells="true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Q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0" activeCellId="0" sqref="C10"/>
    </sheetView>
  </sheetViews>
  <sheetFormatPr defaultColWidth="9.1171875" defaultRowHeight="13.8" zeroHeight="false" outlineLevelRow="0" outlineLevelCol="0"/>
  <cols>
    <col collapsed="false" customWidth="true" hidden="false" outlineLevel="0" max="1" min="1" style="3" width="7.34"/>
    <col collapsed="false" customWidth="true" hidden="false" outlineLevel="0" max="2" min="2" style="3" width="16.89"/>
    <col collapsed="false" customWidth="false" hidden="false" outlineLevel="0" max="3" min="3" style="3" width="9.11"/>
    <col collapsed="false" customWidth="true" hidden="false" outlineLevel="0" max="4" min="4" style="3" width="7.44"/>
    <col collapsed="false" customWidth="true" hidden="false" outlineLevel="0" max="5" min="5" style="3" width="8.55"/>
    <col collapsed="false" customWidth="true" hidden="true" outlineLevel="0" max="6" min="6" style="3" width="0.44"/>
    <col collapsed="false" customWidth="false" hidden="true" outlineLevel="0" max="7" min="7" style="3" width="9.11"/>
    <col collapsed="false" customWidth="true" hidden="false" outlineLevel="0" max="8" min="8" style="3" width="12.33"/>
    <col collapsed="false" customWidth="false" hidden="false" outlineLevel="0" max="9" min="9" style="3" width="9.11"/>
    <col collapsed="false" customWidth="true" hidden="false" outlineLevel="0" max="10" min="10" style="3" width="13.11"/>
    <col collapsed="false" customWidth="true" hidden="false" outlineLevel="0" max="11" min="11" style="3" width="6.11"/>
    <col collapsed="false" customWidth="true" hidden="false" outlineLevel="0" max="12" min="12" style="3" width="9"/>
    <col collapsed="false" customWidth="true" hidden="false" outlineLevel="0" max="13" min="13" style="3" width="7.34"/>
    <col collapsed="false" customWidth="false" hidden="false" outlineLevel="0" max="14" min="14" style="3" width="9.11"/>
    <col collapsed="false" customWidth="true" hidden="true" outlineLevel="0" max="15" min="15" style="3" width="9.87"/>
    <col collapsed="false" customWidth="true" hidden="true" outlineLevel="0" max="16" min="16" style="3" width="3.79"/>
    <col collapsed="false" customWidth="true" hidden="true" outlineLevel="0" max="17" min="17" style="3" width="7.66"/>
    <col collapsed="false" customWidth="false" hidden="false" outlineLevel="0" max="1024" min="18" style="3" width="9.11"/>
  </cols>
  <sheetData>
    <row r="1" customFormat="false" ht="21" hidden="false" customHeight="true" outlineLevel="0" collapsed="false">
      <c r="A1" s="4" t="s">
        <v>9</v>
      </c>
    </row>
    <row r="2" customFormat="false" ht="43.8" hidden="false" customHeight="true" outlineLevel="0" collapsed="false">
      <c r="A2" s="4" t="s">
        <v>10</v>
      </c>
      <c r="B2" s="5" t="s">
        <v>3</v>
      </c>
      <c r="C2" s="5"/>
      <c r="D2" s="5"/>
      <c r="E2" s="5"/>
      <c r="F2" s="5"/>
      <c r="G2" s="5"/>
      <c r="P2" s="6" t="s">
        <v>11</v>
      </c>
      <c r="Q2" s="6" t="s">
        <v>12</v>
      </c>
    </row>
    <row r="3" customFormat="false" ht="14.4" hidden="false" customHeight="true" outlineLevel="0" collapsed="false">
      <c r="A3" s="4" t="s">
        <v>13</v>
      </c>
      <c r="B3" s="4" t="s">
        <v>14</v>
      </c>
      <c r="C3" s="4" t="s">
        <v>15</v>
      </c>
      <c r="D3" s="4" t="s">
        <v>16</v>
      </c>
      <c r="E3" s="7" t="s">
        <v>17</v>
      </c>
      <c r="F3" s="4"/>
      <c r="G3" s="4"/>
      <c r="H3" s="4" t="s">
        <v>18</v>
      </c>
      <c r="I3" s="4"/>
      <c r="J3" s="4" t="s">
        <v>15</v>
      </c>
      <c r="K3" s="4" t="s">
        <v>16</v>
      </c>
      <c r="L3" s="4" t="s">
        <v>17</v>
      </c>
      <c r="M3" s="4" t="s">
        <v>19</v>
      </c>
      <c r="P3" s="6" t="s">
        <v>20</v>
      </c>
      <c r="Q3" s="8" t="s">
        <v>21</v>
      </c>
    </row>
    <row r="4" customFormat="false" ht="14.4" hidden="false" customHeight="true" outlineLevel="0" collapsed="false">
      <c r="A4" s="3" t="n">
        <v>1</v>
      </c>
      <c r="B4" s="9" t="s">
        <v>22</v>
      </c>
      <c r="C4" s="10"/>
      <c r="D4" s="3" t="n">
        <v>6</v>
      </c>
      <c r="E4" s="11" t="n">
        <f aca="false">C4/D4</f>
        <v>0</v>
      </c>
      <c r="H4" s="12" t="s">
        <v>23</v>
      </c>
      <c r="J4" s="12" t="n">
        <v>0</v>
      </c>
      <c r="K4" s="12" t="n">
        <v>0</v>
      </c>
      <c r="L4" s="11" t="e">
        <f aca="false">J4/K4</f>
        <v>#DIV/0!</v>
      </c>
      <c r="M4" s="3" t="e">
        <f aca="false">IF(L4&gt;89%,"ME",IF(L4&gt;74%,"MP",IF(L4&gt;59%,"DP","WB")))</f>
        <v>#DIV/0!</v>
      </c>
      <c r="P4" s="6" t="s">
        <v>24</v>
      </c>
      <c r="Q4" s="6" t="s">
        <v>25</v>
      </c>
    </row>
    <row r="5" customFormat="false" ht="15.6" hidden="false" customHeight="true" outlineLevel="0" collapsed="false">
      <c r="A5" s="3" t="n">
        <v>2</v>
      </c>
      <c r="B5" s="9" t="s">
        <v>22</v>
      </c>
      <c r="C5" s="10"/>
      <c r="D5" s="3" t="n">
        <v>4</v>
      </c>
      <c r="E5" s="11" t="n">
        <f aca="false">C5/D5</f>
        <v>0</v>
      </c>
      <c r="H5" s="12" t="s">
        <v>26</v>
      </c>
      <c r="J5" s="12" t="n">
        <v>7</v>
      </c>
      <c r="K5" s="12" t="n">
        <v>8</v>
      </c>
      <c r="L5" s="11" t="n">
        <f aca="false">J5/K5</f>
        <v>0.875</v>
      </c>
      <c r="M5" s="3" t="str">
        <f aca="false">IF(L5&gt;89%,"ME",IF(L5&gt;74%,"MP",IF(L5&gt;59%,"DP","WB")))</f>
        <v>MP</v>
      </c>
      <c r="P5" s="6" t="s">
        <v>27</v>
      </c>
      <c r="Q5" s="6" t="s">
        <v>28</v>
      </c>
    </row>
    <row r="6" customFormat="false" ht="14.4" hidden="false" customHeight="true" outlineLevel="0" collapsed="false">
      <c r="A6" s="3" t="n">
        <v>3</v>
      </c>
      <c r="B6" s="9" t="s">
        <v>22</v>
      </c>
      <c r="C6" s="10"/>
      <c r="D6" s="3" t="n">
        <v>4</v>
      </c>
      <c r="E6" s="11" t="n">
        <f aca="false">C6/D6</f>
        <v>0</v>
      </c>
      <c r="H6" s="12" t="s">
        <v>29</v>
      </c>
      <c r="J6" s="12" t="n">
        <v>15</v>
      </c>
      <c r="K6" s="12" t="n">
        <v>18</v>
      </c>
      <c r="L6" s="11" t="n">
        <f aca="false">J6/K6</f>
        <v>0.833333333333333</v>
      </c>
      <c r="M6" s="3" t="str">
        <f aca="false">IF(L6&gt;89%,"ME",IF(L6&gt;74%,"MP",IF(L6&gt;59%,"DP","WB")))</f>
        <v>MP</v>
      </c>
      <c r="P6" s="6" t="s">
        <v>30</v>
      </c>
      <c r="Q6" s="6" t="s">
        <v>31</v>
      </c>
    </row>
    <row r="7" customFormat="false" ht="14.4" hidden="false" customHeight="true" outlineLevel="0" collapsed="false">
      <c r="A7" s="3" t="n">
        <v>4</v>
      </c>
      <c r="B7" s="9" t="s">
        <v>32</v>
      </c>
      <c r="C7" s="10"/>
      <c r="D7" s="3" t="n">
        <v>2</v>
      </c>
      <c r="E7" s="11" t="n">
        <f aca="false">C7/D7</f>
        <v>0</v>
      </c>
      <c r="H7" s="4" t="s">
        <v>33</v>
      </c>
      <c r="J7" s="3" t="n">
        <f aca="false">SUM(J4:J6)</f>
        <v>22</v>
      </c>
      <c r="K7" s="3" t="n">
        <f aca="false">SUM(K4:K6)</f>
        <v>26</v>
      </c>
      <c r="L7" s="11" t="n">
        <f aca="false">J7/K7</f>
        <v>0.846153846153846</v>
      </c>
      <c r="M7" s="3" t="str">
        <f aca="false">IF(L7&gt;89%,"ME",IF(L7&gt;74%,"MP",IF(L7&gt;59%,"DP","WB")))</f>
        <v>MP</v>
      </c>
      <c r="P7" s="6" t="s">
        <v>34</v>
      </c>
      <c r="Q7" s="6" t="s">
        <v>35</v>
      </c>
    </row>
    <row r="8" customFormat="false" ht="14.4" hidden="false" customHeight="true" outlineLevel="0" collapsed="false">
      <c r="A8" s="3" t="n">
        <v>5</v>
      </c>
      <c r="B8" s="9" t="s">
        <v>32</v>
      </c>
      <c r="C8" s="10"/>
      <c r="D8" s="3" t="n">
        <v>3</v>
      </c>
      <c r="E8" s="11" t="n">
        <f aca="false">C8/D8</f>
        <v>0</v>
      </c>
      <c r="L8" s="11"/>
      <c r="P8" s="6" t="s">
        <v>36</v>
      </c>
      <c r="Q8" s="6" t="s">
        <v>30</v>
      </c>
    </row>
    <row r="9" customFormat="false" ht="16.8" hidden="false" customHeight="true" outlineLevel="0" collapsed="false">
      <c r="A9" s="3" t="n">
        <v>6</v>
      </c>
      <c r="B9" s="9" t="s">
        <v>32</v>
      </c>
      <c r="C9" s="10"/>
      <c r="D9" s="3" t="n">
        <v>3</v>
      </c>
      <c r="E9" s="11" t="n">
        <f aca="false">C9/D9</f>
        <v>0</v>
      </c>
      <c r="L9" s="11"/>
      <c r="P9" s="6" t="s">
        <v>37</v>
      </c>
      <c r="Q9" s="6" t="s">
        <v>27</v>
      </c>
    </row>
    <row r="10" customFormat="false" ht="14.4" hidden="false" customHeight="true" outlineLevel="0" collapsed="false">
      <c r="A10" s="3" t="n">
        <v>7</v>
      </c>
      <c r="B10" s="9" t="s">
        <v>38</v>
      </c>
      <c r="C10" s="9"/>
      <c r="D10" s="3" t="n">
        <v>2</v>
      </c>
      <c r="E10" s="11" t="n">
        <f aca="false">C10/D10</f>
        <v>0</v>
      </c>
      <c r="H10" s="7" t="s">
        <v>39</v>
      </c>
      <c r="I10" s="7"/>
      <c r="J10" s="7"/>
      <c r="K10" s="7"/>
      <c r="L10" s="7"/>
      <c r="P10" s="6" t="s">
        <v>35</v>
      </c>
      <c r="Q10" s="6" t="s">
        <v>40</v>
      </c>
    </row>
    <row r="11" customFormat="false" ht="15" hidden="false" customHeight="true" outlineLevel="0" collapsed="false">
      <c r="A11" s="3" t="n">
        <v>8</v>
      </c>
      <c r="B11" s="9" t="s">
        <v>38</v>
      </c>
      <c r="C11" s="12"/>
      <c r="D11" s="3" t="n">
        <v>2</v>
      </c>
      <c r="E11" s="11" t="n">
        <f aca="false">C11/D11</f>
        <v>0</v>
      </c>
      <c r="H11" s="4" t="s">
        <v>18</v>
      </c>
      <c r="I11" s="4"/>
      <c r="J11" s="4" t="s">
        <v>41</v>
      </c>
      <c r="K11" s="4" t="s">
        <v>16</v>
      </c>
      <c r="L11" s="13" t="s">
        <v>17</v>
      </c>
      <c r="P11" s="6" t="s">
        <v>28</v>
      </c>
      <c r="Q11" s="6" t="s">
        <v>42</v>
      </c>
    </row>
    <row r="12" customFormat="false" ht="28.8" hidden="false" customHeight="false" outlineLevel="0" collapsed="false">
      <c r="C12" s="12"/>
      <c r="E12" s="11" t="e">
        <f aca="false">C12/D12</f>
        <v>#DIV/0!</v>
      </c>
      <c r="H12" s="14" t="s">
        <v>43</v>
      </c>
      <c r="I12" s="14"/>
      <c r="K12" s="3" t="n">
        <v>4</v>
      </c>
      <c r="L12" s="11"/>
      <c r="P12" s="6" t="s">
        <v>31</v>
      </c>
      <c r="Q12" s="6" t="s">
        <v>34</v>
      </c>
    </row>
    <row r="13" customFormat="false" ht="28.8" hidden="false" customHeight="true" outlineLevel="0" collapsed="false">
      <c r="C13" s="12"/>
      <c r="E13" s="11"/>
      <c r="P13" s="6" t="s">
        <v>25</v>
      </c>
      <c r="Q13" s="6" t="s">
        <v>37</v>
      </c>
    </row>
    <row r="14" customFormat="false" ht="16.5" hidden="false" customHeight="true" outlineLevel="0" collapsed="false">
      <c r="P14" s="6" t="s">
        <v>42</v>
      </c>
      <c r="Q14" s="6" t="s">
        <v>44</v>
      </c>
    </row>
    <row r="15" customFormat="false" ht="14.4" hidden="false" customHeight="true" outlineLevel="0" collapsed="false">
      <c r="C15" s="3" t="n">
        <f aca="false">SUM(C4:C13)</f>
        <v>0</v>
      </c>
      <c r="D15" s="3" t="n">
        <f aca="false">SUM(D4:D12)</f>
        <v>26</v>
      </c>
      <c r="P15" s="6" t="s">
        <v>45</v>
      </c>
      <c r="Q15" s="6" t="s">
        <v>46</v>
      </c>
    </row>
    <row r="16" customFormat="false" ht="14.4" hidden="false" customHeight="true" outlineLevel="0" collapsed="false">
      <c r="P16" s="6" t="s">
        <v>12</v>
      </c>
      <c r="Q16" s="6" t="s">
        <v>11</v>
      </c>
    </row>
    <row r="17" customFormat="false" ht="28.8" hidden="false" customHeight="true" outlineLevel="0" collapsed="false">
      <c r="P17" s="6" t="s">
        <v>46</v>
      </c>
      <c r="Q17" s="6" t="s">
        <v>47</v>
      </c>
    </row>
    <row r="18" customFormat="false" ht="28.8" hidden="false" customHeight="true" outlineLevel="0" collapsed="false">
      <c r="P18" s="6" t="s">
        <v>48</v>
      </c>
      <c r="Q18" s="6" t="s">
        <v>49</v>
      </c>
    </row>
    <row r="19" customFormat="false" ht="28.8" hidden="false" customHeight="true" outlineLevel="0" collapsed="false">
      <c r="P19" s="6" t="s">
        <v>50</v>
      </c>
      <c r="Q19" s="6" t="s">
        <v>51</v>
      </c>
    </row>
    <row r="20" customFormat="false" ht="14.4" hidden="false" customHeight="true" outlineLevel="0" collapsed="false">
      <c r="P20" s="6" t="s">
        <v>21</v>
      </c>
      <c r="Q20" s="6" t="s">
        <v>52</v>
      </c>
    </row>
    <row r="21" customFormat="false" ht="14.4" hidden="false" customHeight="true" outlineLevel="0" collapsed="false">
      <c r="P21" s="6" t="s">
        <v>53</v>
      </c>
      <c r="Q21" s="6" t="s">
        <v>54</v>
      </c>
    </row>
    <row r="22" customFormat="false" ht="28.8" hidden="false" customHeight="true" outlineLevel="0" collapsed="false">
      <c r="P22" s="6" t="s">
        <v>55</v>
      </c>
      <c r="Q22" s="6" t="s">
        <v>55</v>
      </c>
    </row>
    <row r="23" customFormat="false" ht="14.4" hidden="false" customHeight="true" outlineLevel="0" collapsed="false">
      <c r="P23" s="6" t="s">
        <v>44</v>
      </c>
      <c r="Q23" s="6" t="s">
        <v>50</v>
      </c>
    </row>
    <row r="24" customFormat="false" ht="43.2" hidden="false" customHeight="true" outlineLevel="0" collapsed="false">
      <c r="P24" s="6" t="s">
        <v>54</v>
      </c>
      <c r="Q24" s="6" t="s">
        <v>56</v>
      </c>
    </row>
    <row r="25" customFormat="false" ht="14.4" hidden="false" customHeight="true" outlineLevel="0" collapsed="false">
      <c r="P25" s="6" t="s">
        <v>52</v>
      </c>
      <c r="Q25" s="6" t="s">
        <v>45</v>
      </c>
    </row>
    <row r="26" customFormat="false" ht="14.4" hidden="false" customHeight="true" outlineLevel="0" collapsed="false">
      <c r="P26" s="6" t="s">
        <v>49</v>
      </c>
      <c r="Q26" s="6" t="s">
        <v>57</v>
      </c>
    </row>
    <row r="27" customFormat="false" ht="14.4" hidden="false" customHeight="true" outlineLevel="0" collapsed="false">
      <c r="P27" s="8" t="s">
        <v>47</v>
      </c>
      <c r="Q27" s="6" t="s">
        <v>53</v>
      </c>
    </row>
    <row r="28" customFormat="false" ht="28.8" hidden="false" customHeight="true" outlineLevel="0" collapsed="false">
      <c r="P28" s="6" t="s">
        <v>40</v>
      </c>
      <c r="Q28" s="6" t="s">
        <v>20</v>
      </c>
    </row>
    <row r="29" customFormat="false" ht="28.8" hidden="false" customHeight="true" outlineLevel="0" collapsed="false">
      <c r="P29" s="6" t="s">
        <v>51</v>
      </c>
      <c r="Q29" s="6" t="s">
        <v>24</v>
      </c>
    </row>
    <row r="30" customFormat="false" ht="14.4" hidden="false" customHeight="true" outlineLevel="0" collapsed="false">
      <c r="P30" s="6" t="s">
        <v>56</v>
      </c>
      <c r="Q30" s="6" t="s">
        <v>48</v>
      </c>
    </row>
    <row r="31" customFormat="false" ht="14.4" hidden="false" customHeight="true" outlineLevel="0" collapsed="false">
      <c r="P31" s="6" t="s">
        <v>57</v>
      </c>
      <c r="Q31" s="6" t="s">
        <v>36</v>
      </c>
    </row>
  </sheetData>
  <mergeCells count="3">
    <mergeCell ref="B1:E1"/>
    <mergeCell ref="B2:G2"/>
    <mergeCell ref="H10:L10"/>
  </mergeCells>
  <dataValidations count="1">
    <dataValidation allowBlank="true" operator="between" showDropDown="false" showErrorMessage="true" showInputMessage="true" sqref="B1:E1" type="list">
      <formula1>#ref!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AY37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3" ySplit="0" topLeftCell="Y1" activePane="topRight" state="frozen"/>
      <selection pane="topLeft" activeCell="A1" activeCellId="0" sqref="A1"/>
      <selection pane="topRight" activeCell="AW9" activeCellId="0" sqref="AW9"/>
    </sheetView>
  </sheetViews>
  <sheetFormatPr defaultColWidth="14" defaultRowHeight="13.8" zeroHeight="false" outlineLevelRow="0" outlineLevelCol="0"/>
  <cols>
    <col collapsed="false" customWidth="true" hidden="false" outlineLevel="0" max="1" min="1" style="15" width="5.11"/>
    <col collapsed="false" customWidth="true" hidden="false" outlineLevel="0" max="2" min="2" style="15" width="11.55"/>
    <col collapsed="false" customWidth="true" hidden="false" outlineLevel="0" max="3" min="3" style="15" width="9.87"/>
    <col collapsed="false" customWidth="true" hidden="false" outlineLevel="0" max="4" min="4" style="15" width="5.11"/>
    <col collapsed="false" customWidth="true" hidden="false" outlineLevel="0" max="5" min="5" style="15" width="4.34"/>
    <col collapsed="false" customWidth="true" hidden="false" outlineLevel="0" max="6" min="6" style="15" width="4.55"/>
    <col collapsed="false" customWidth="true" hidden="false" outlineLevel="0" max="7" min="7" style="15" width="2.89"/>
    <col collapsed="false" customWidth="true" hidden="false" outlineLevel="0" max="8" min="8" style="15" width="3.89"/>
    <col collapsed="false" customWidth="true" hidden="false" outlineLevel="0" max="9" min="9" style="15" width="6.34"/>
    <col collapsed="false" customWidth="true" hidden="false" outlineLevel="0" max="10" min="10" style="15" width="3.89"/>
    <col collapsed="false" customWidth="true" hidden="false" outlineLevel="0" max="11" min="11" style="15" width="4.55"/>
    <col collapsed="false" customWidth="true" hidden="false" outlineLevel="0" max="12" min="12" style="15" width="3.79"/>
    <col collapsed="false" customWidth="true" hidden="false" outlineLevel="0" max="14" min="13" style="15" width="3.55"/>
    <col collapsed="false" customWidth="true" hidden="false" outlineLevel="0" max="15" min="15" style="15" width="4.34"/>
    <col collapsed="false" customWidth="true" hidden="false" outlineLevel="0" max="16" min="16" style="15" width="3.89"/>
    <col collapsed="false" customWidth="true" hidden="false" outlineLevel="0" max="18" min="17" style="15" width="3.79"/>
    <col collapsed="false" customWidth="true" hidden="false" outlineLevel="0" max="19" min="19" style="15" width="4"/>
    <col collapsed="false" customWidth="true" hidden="false" outlineLevel="0" max="20" min="20" style="15" width="4.34"/>
    <col collapsed="false" customWidth="true" hidden="false" outlineLevel="0" max="21" min="21" style="15" width="3.89"/>
    <col collapsed="false" customWidth="true" hidden="false" outlineLevel="0" max="22" min="22" style="15" width="3.55"/>
    <col collapsed="false" customWidth="true" hidden="false" outlineLevel="0" max="23" min="23" style="15" width="4.55"/>
    <col collapsed="false" customWidth="true" hidden="false" outlineLevel="0" max="24" min="24" style="15" width="9.44"/>
    <col collapsed="false" customWidth="true" hidden="false" outlineLevel="0" max="25" min="25" style="15" width="5.79"/>
    <col collapsed="false" customWidth="true" hidden="false" outlineLevel="0" max="26" min="26" style="15" width="6"/>
    <col collapsed="false" customWidth="true" hidden="false" outlineLevel="0" max="27" min="27" style="15" width="4.89"/>
    <col collapsed="false" customWidth="true" hidden="false" outlineLevel="0" max="28" min="28" style="15" width="5.79"/>
    <col collapsed="false" customWidth="true" hidden="false" outlineLevel="0" max="29" min="29" style="15" width="3.55"/>
    <col collapsed="false" customWidth="true" hidden="false" outlineLevel="0" max="30" min="30" style="15" width="5"/>
    <col collapsed="false" customWidth="true" hidden="false" outlineLevel="0" max="31" min="31" style="15" width="7.11"/>
    <col collapsed="false" customWidth="true" hidden="false" outlineLevel="0" max="32" min="32" style="15" width="4"/>
    <col collapsed="false" customWidth="true" hidden="false" outlineLevel="0" max="33" min="33" style="15" width="6.34"/>
    <col collapsed="false" customWidth="true" hidden="false" outlineLevel="0" max="34" min="34" style="15" width="3.79"/>
    <col collapsed="false" customWidth="true" hidden="false" outlineLevel="0" max="35" min="35" style="15" width="5.22"/>
    <col collapsed="false" customWidth="true" hidden="false" outlineLevel="0" max="36" min="36" style="15" width="3.89"/>
    <col collapsed="false" customWidth="true" hidden="false" outlineLevel="0" max="37" min="37" style="15" width="6.22"/>
    <col collapsed="false" customWidth="true" hidden="false" outlineLevel="0" max="38" min="38" style="15" width="5.55"/>
    <col collapsed="false" customWidth="true" hidden="false" outlineLevel="0" max="39" min="39" style="15" width="5.11"/>
    <col collapsed="false" customWidth="true" hidden="false" outlineLevel="0" max="40" min="40" style="15" width="6.11"/>
    <col collapsed="false" customWidth="true" hidden="false" outlineLevel="0" max="41" min="41" style="15" width="3.44"/>
    <col collapsed="false" customWidth="true" hidden="false" outlineLevel="0" max="42" min="42" style="15" width="3.55"/>
    <col collapsed="false" customWidth="true" hidden="false" outlineLevel="0" max="43" min="43" style="15" width="6.34"/>
    <col collapsed="false" customWidth="true" hidden="false" outlineLevel="0" max="44" min="44" style="15" width="4.34"/>
    <col collapsed="false" customWidth="true" hidden="false" outlineLevel="0" max="45" min="45" style="15" width="4"/>
    <col collapsed="false" customWidth="true" hidden="false" outlineLevel="0" max="46" min="46" style="15" width="6.34"/>
    <col collapsed="false" customWidth="true" hidden="false" outlineLevel="0" max="47" min="47" style="15" width="4.34"/>
    <col collapsed="false" customWidth="true" hidden="false" outlineLevel="0" max="48" min="48" style="15" width="3.44"/>
    <col collapsed="false" customWidth="true" hidden="false" outlineLevel="0" max="49" min="49" style="15" width="6.34"/>
    <col collapsed="false" customWidth="true" hidden="false" outlineLevel="0" max="50" min="50" style="15" width="4.34"/>
    <col collapsed="false" customWidth="true" hidden="false" outlineLevel="0" max="51" min="51" style="15" width="3.44"/>
    <col collapsed="false" customWidth="false" hidden="false" outlineLevel="0" max="957" min="52" style="15" width="14"/>
    <col collapsed="false" customWidth="true" hidden="false" outlineLevel="0" max="1024" min="958" style="0" width="9.14"/>
  </cols>
  <sheetData>
    <row r="1" customFormat="false" ht="30.75" hidden="false" customHeight="true" outlineLevel="0" collapsed="false">
      <c r="A1" s="16" t="s">
        <v>58</v>
      </c>
      <c r="B1" s="16"/>
      <c r="C1" s="16"/>
      <c r="D1" s="16"/>
      <c r="E1" s="17" t="s">
        <v>59</v>
      </c>
      <c r="F1" s="17"/>
      <c r="G1" s="17"/>
      <c r="H1" s="17"/>
      <c r="I1" s="18" t="s">
        <v>60</v>
      </c>
      <c r="J1" s="19" t="s">
        <v>61</v>
      </c>
      <c r="K1" s="19"/>
      <c r="L1" s="19"/>
      <c r="M1" s="20" t="s">
        <v>62</v>
      </c>
      <c r="N1" s="20"/>
      <c r="O1" s="20"/>
      <c r="P1" s="21" t="s">
        <v>63</v>
      </c>
      <c r="Q1" s="21"/>
      <c r="R1" s="21"/>
      <c r="S1" s="21"/>
      <c r="T1" s="21"/>
      <c r="U1" s="21"/>
      <c r="V1" s="21"/>
      <c r="W1" s="21"/>
      <c r="X1" s="22" t="s">
        <v>64</v>
      </c>
      <c r="Y1" s="23" t="s">
        <v>65</v>
      </c>
      <c r="Z1" s="23"/>
      <c r="AA1" s="23"/>
      <c r="AB1" s="23"/>
      <c r="AC1" s="23"/>
      <c r="AD1" s="23"/>
      <c r="AE1" s="23"/>
      <c r="AF1" s="24" t="s">
        <v>66</v>
      </c>
      <c r="AG1" s="24"/>
      <c r="AH1" s="24"/>
      <c r="AI1" s="24"/>
      <c r="AJ1" s="24"/>
      <c r="AK1" s="24"/>
      <c r="AL1" s="24"/>
      <c r="AM1" s="24"/>
      <c r="AN1" s="24"/>
      <c r="AO1" s="25" t="s">
        <v>67</v>
      </c>
      <c r="AP1" s="25"/>
      <c r="AQ1" s="25"/>
      <c r="AR1" s="25"/>
      <c r="AS1" s="25"/>
      <c r="AT1" s="25"/>
      <c r="AU1" s="25"/>
      <c r="AV1" s="25"/>
      <c r="AW1" s="25"/>
      <c r="AX1" s="25"/>
      <c r="AY1" s="25"/>
    </row>
    <row r="2" customFormat="false" ht="123.75" hidden="false" customHeight="true" outlineLevel="0" collapsed="false">
      <c r="A2" s="26" t="s">
        <v>68</v>
      </c>
      <c r="B2" s="27" t="s">
        <v>69</v>
      </c>
      <c r="C2" s="28" t="s">
        <v>70</v>
      </c>
      <c r="D2" s="29" t="s">
        <v>71</v>
      </c>
      <c r="E2" s="30" t="s">
        <v>23</v>
      </c>
      <c r="F2" s="30" t="s">
        <v>26</v>
      </c>
      <c r="G2" s="30" t="s">
        <v>29</v>
      </c>
      <c r="H2" s="30" t="s">
        <v>72</v>
      </c>
      <c r="I2" s="31" t="s">
        <v>23</v>
      </c>
      <c r="J2" s="30" t="s">
        <v>23</v>
      </c>
      <c r="K2" s="30" t="s">
        <v>26</v>
      </c>
      <c r="L2" s="30" t="s">
        <v>29</v>
      </c>
      <c r="M2" s="31" t="s">
        <v>23</v>
      </c>
      <c r="N2" s="31" t="s">
        <v>26</v>
      </c>
      <c r="O2" s="31" t="s">
        <v>73</v>
      </c>
      <c r="P2" s="32" t="s">
        <v>23</v>
      </c>
      <c r="Q2" s="32" t="s">
        <v>74</v>
      </c>
      <c r="R2" s="32" t="s">
        <v>26</v>
      </c>
      <c r="S2" s="32" t="s">
        <v>75</v>
      </c>
      <c r="T2" s="32" t="s">
        <v>29</v>
      </c>
      <c r="U2" s="32" t="s">
        <v>76</v>
      </c>
      <c r="V2" s="32" t="s">
        <v>39</v>
      </c>
      <c r="W2" s="32" t="s">
        <v>77</v>
      </c>
      <c r="X2" s="33" t="s">
        <v>78</v>
      </c>
      <c r="Y2" s="34" t="s">
        <v>26</v>
      </c>
      <c r="Z2" s="34"/>
      <c r="AA2" s="34" t="s">
        <v>29</v>
      </c>
      <c r="AB2" s="34"/>
      <c r="AC2" s="35" t="s">
        <v>79</v>
      </c>
      <c r="AD2" s="36" t="s">
        <v>80</v>
      </c>
      <c r="AE2" s="36"/>
      <c r="AF2" s="37" t="s">
        <v>23</v>
      </c>
      <c r="AG2" s="37"/>
      <c r="AH2" s="37" t="s">
        <v>26</v>
      </c>
      <c r="AI2" s="37"/>
      <c r="AJ2" s="37" t="s">
        <v>29</v>
      </c>
      <c r="AK2" s="37"/>
      <c r="AL2" s="30" t="s">
        <v>81</v>
      </c>
      <c r="AM2" s="38" t="s">
        <v>82</v>
      </c>
      <c r="AN2" s="38"/>
      <c r="AO2" s="35" t="s">
        <v>83</v>
      </c>
      <c r="AP2" s="39" t="s">
        <v>23</v>
      </c>
      <c r="AQ2" s="40" t="s">
        <v>84</v>
      </c>
      <c r="AR2" s="40" t="s">
        <v>85</v>
      </c>
      <c r="AS2" s="40" t="s">
        <v>26</v>
      </c>
      <c r="AT2" s="40" t="s">
        <v>86</v>
      </c>
      <c r="AU2" s="40" t="s">
        <v>75</v>
      </c>
      <c r="AV2" s="40" t="s">
        <v>29</v>
      </c>
      <c r="AW2" s="40" t="s">
        <v>87</v>
      </c>
      <c r="AX2" s="40" t="s">
        <v>76</v>
      </c>
      <c r="AY2" s="40" t="s">
        <v>88</v>
      </c>
    </row>
    <row r="3" customFormat="false" ht="14.9" hidden="false" customHeight="false" outlineLevel="0" collapsed="false">
      <c r="A3" s="41"/>
      <c r="B3" s="42" t="s">
        <v>2</v>
      </c>
      <c r="C3" s="43" t="s">
        <v>89</v>
      </c>
      <c r="D3" s="44"/>
      <c r="E3" s="45" t="s">
        <v>90</v>
      </c>
      <c r="F3" s="46" t="s">
        <v>91</v>
      </c>
      <c r="G3" s="46" t="s">
        <v>92</v>
      </c>
      <c r="H3" s="46" t="s">
        <v>93</v>
      </c>
      <c r="I3" s="47" t="s">
        <v>94</v>
      </c>
      <c r="J3" s="46" t="s">
        <v>94</v>
      </c>
      <c r="K3" s="46" t="s">
        <v>95</v>
      </c>
      <c r="L3" s="46" t="s">
        <v>96</v>
      </c>
      <c r="M3" s="47" t="s">
        <v>97</v>
      </c>
      <c r="N3" s="47" t="s">
        <v>90</v>
      </c>
      <c r="O3" s="47" t="s">
        <v>93</v>
      </c>
      <c r="P3" s="48" t="s">
        <v>98</v>
      </c>
      <c r="Q3" s="48"/>
      <c r="R3" s="48" t="s">
        <v>91</v>
      </c>
      <c r="S3" s="48"/>
      <c r="T3" s="48" t="s">
        <v>96</v>
      </c>
      <c r="U3" s="48"/>
      <c r="V3" s="48" t="s">
        <v>93</v>
      </c>
      <c r="W3" s="49"/>
      <c r="X3" s="50"/>
      <c r="Y3" s="51" t="n">
        <v>8</v>
      </c>
      <c r="Z3" s="52" t="s">
        <v>89</v>
      </c>
      <c r="AA3" s="51" t="n">
        <v>18</v>
      </c>
      <c r="AB3" s="51" t="s">
        <v>89</v>
      </c>
      <c r="AC3" s="53" t="n">
        <v>2</v>
      </c>
      <c r="AD3" s="51" t="n">
        <v>26</v>
      </c>
      <c r="AE3" s="51" t="s">
        <v>89</v>
      </c>
      <c r="AF3" s="54" t="n">
        <v>8</v>
      </c>
      <c r="AG3" s="54" t="s">
        <v>89</v>
      </c>
      <c r="AH3" s="54" t="n">
        <v>8</v>
      </c>
      <c r="AI3" s="54" t="s">
        <v>89</v>
      </c>
      <c r="AJ3" s="55" t="n">
        <v>10</v>
      </c>
      <c r="AK3" s="55" t="s">
        <v>89</v>
      </c>
      <c r="AL3" s="55" t="n">
        <v>2</v>
      </c>
      <c r="AM3" s="56" t="n">
        <v>26</v>
      </c>
      <c r="AN3" s="56" t="s">
        <v>89</v>
      </c>
      <c r="AO3" s="57" t="s">
        <v>99</v>
      </c>
      <c r="AP3" s="58" t="n">
        <v>8</v>
      </c>
      <c r="AQ3" s="59" t="s">
        <v>89</v>
      </c>
      <c r="AR3" s="59"/>
      <c r="AS3" s="59" t="n">
        <v>16</v>
      </c>
      <c r="AT3" s="59" t="s">
        <v>89</v>
      </c>
      <c r="AU3" s="59"/>
      <c r="AV3" s="59" t="n">
        <v>28</v>
      </c>
      <c r="AW3" s="59" t="s">
        <v>89</v>
      </c>
      <c r="AX3" s="59"/>
      <c r="AY3" s="59" t="n">
        <v>15</v>
      </c>
    </row>
    <row r="4" customFormat="false" ht="14.9" hidden="false" customHeight="false" outlineLevel="0" collapsed="false">
      <c r="A4" s="60" t="n">
        <v>1</v>
      </c>
      <c r="B4" s="61" t="s">
        <v>100</v>
      </c>
      <c r="C4" s="62" t="n">
        <v>88</v>
      </c>
      <c r="D4" s="63"/>
      <c r="E4" s="64" t="n">
        <v>5</v>
      </c>
      <c r="F4" s="65" t="n">
        <v>17</v>
      </c>
      <c r="G4" s="65" t="n">
        <v>3</v>
      </c>
      <c r="H4" s="65" t="n">
        <v>2</v>
      </c>
      <c r="I4" s="66" t="n">
        <v>10</v>
      </c>
      <c r="J4" s="65" t="n">
        <v>9</v>
      </c>
      <c r="K4" s="65" t="n">
        <v>10</v>
      </c>
      <c r="L4" s="65" t="n">
        <v>0</v>
      </c>
      <c r="M4" s="66" t="n">
        <v>17</v>
      </c>
      <c r="N4" s="66" t="n">
        <v>6</v>
      </c>
      <c r="O4" s="66" t="n">
        <v>2</v>
      </c>
      <c r="P4" s="67" t="n">
        <v>36</v>
      </c>
      <c r="Q4" s="67" t="s">
        <v>101</v>
      </c>
      <c r="R4" s="67" t="n">
        <v>16</v>
      </c>
      <c r="S4" s="67" t="s">
        <v>101</v>
      </c>
      <c r="T4" s="67" t="n">
        <v>0</v>
      </c>
      <c r="U4" s="67" t="s">
        <v>101</v>
      </c>
      <c r="V4" s="67" t="n">
        <v>2</v>
      </c>
      <c r="W4" s="67" t="s">
        <v>101</v>
      </c>
      <c r="X4" s="68" t="s">
        <v>101</v>
      </c>
      <c r="Y4" s="69" t="n">
        <v>3</v>
      </c>
      <c r="Z4" s="70" t="n">
        <f aca="false">Y4/9</f>
        <v>0.333333333333333</v>
      </c>
      <c r="AA4" s="71" t="n">
        <v>14</v>
      </c>
      <c r="AB4" s="70" t="n">
        <f aca="false">AA4/18</f>
        <v>0.777777777777778</v>
      </c>
      <c r="AC4" s="72"/>
      <c r="AD4" s="73" t="n">
        <f aca="false">SUM(Y4,AA4)</f>
        <v>17</v>
      </c>
      <c r="AE4" s="70" t="n">
        <f aca="false">AD4/27</f>
        <v>0.62962962962963</v>
      </c>
      <c r="AF4" s="74" t="n">
        <v>5</v>
      </c>
      <c r="AG4" s="75" t="n">
        <f aca="false">AF4/8</f>
        <v>0.625</v>
      </c>
      <c r="AH4" s="74" t="n">
        <v>4</v>
      </c>
      <c r="AI4" s="75" t="n">
        <f aca="false">AH4/8</f>
        <v>0.5</v>
      </c>
      <c r="AJ4" s="74" t="n">
        <v>1</v>
      </c>
      <c r="AK4" s="75" t="n">
        <f aca="false">AJ4/10</f>
        <v>0.1</v>
      </c>
      <c r="AL4" s="76"/>
      <c r="AM4" s="77" t="n">
        <f aca="false">SUM(AF4,AH4,AJ4)</f>
        <v>10</v>
      </c>
      <c r="AN4" s="75" t="n">
        <f aca="false">AM4/26</f>
        <v>0.384615384615385</v>
      </c>
      <c r="AO4" s="78"/>
      <c r="AP4" s="71" t="n">
        <f aca="false">AF4</f>
        <v>5</v>
      </c>
      <c r="AQ4" s="70" t="n">
        <f aca="false">AP4/$AP$3</f>
        <v>0.625</v>
      </c>
      <c r="AR4" s="73" t="str">
        <f aca="false">IF((AP4/AP$3)&gt;0.899999999999999,"ME",IF((AP4/AP$3)&gt;0.749999999999999,"MP",IF((AP4/AP$3)&gt;0.599999999999999,"DP","WB")))</f>
        <v>DP</v>
      </c>
      <c r="AS4" s="73" t="n">
        <f aca="false">Y4+AH4</f>
        <v>7</v>
      </c>
      <c r="AT4" s="70" t="n">
        <f aca="false">AS4/$AS$3</f>
        <v>0.4375</v>
      </c>
      <c r="AU4" s="79" t="str">
        <f aca="false">IF((AS4/AS$3)&gt;0.899999999999999,"ME",IF((AS4/AS$3)&gt;0.749999999999999,"MP",IF((AS4/AS$3)&gt;0.599999999999999,"DP","WB")))</f>
        <v>WB</v>
      </c>
      <c r="AV4" s="79" t="n">
        <f aca="false">AJ4+AA4</f>
        <v>15</v>
      </c>
      <c r="AW4" s="70" t="n">
        <f aca="false">AV4/$AV$3</f>
        <v>0.535714285714286</v>
      </c>
      <c r="AX4" s="79" t="str">
        <f aca="false">IF((AV4/AV$3)&gt;0.899999999999999,"ME",IF((AV4/AV$3)&gt;0.749999999999999,"MP",IF((AV4/AV$3)&gt;0.599999999999999,"DP","WB")))</f>
        <v>WB</v>
      </c>
      <c r="AY4" s="73"/>
    </row>
    <row r="5" customFormat="false" ht="14.9" hidden="false" customHeight="false" outlineLevel="0" collapsed="false">
      <c r="A5" s="60" t="n">
        <v>2</v>
      </c>
      <c r="B5" s="61" t="s">
        <v>100</v>
      </c>
      <c r="C5" s="62" t="n">
        <v>94</v>
      </c>
      <c r="D5" s="80"/>
      <c r="E5" s="81" t="n">
        <v>6</v>
      </c>
      <c r="F5" s="65" t="n">
        <v>27</v>
      </c>
      <c r="G5" s="65" t="n">
        <v>6</v>
      </c>
      <c r="H5" s="65" t="n">
        <v>2</v>
      </c>
      <c r="I5" s="66"/>
      <c r="J5" s="65"/>
      <c r="K5" s="65"/>
      <c r="L5" s="65"/>
      <c r="M5" s="66"/>
      <c r="N5" s="66"/>
      <c r="O5" s="66"/>
      <c r="P5" s="67"/>
      <c r="Q5" s="67"/>
      <c r="R5" s="67"/>
      <c r="S5" s="67"/>
      <c r="T5" s="67"/>
      <c r="U5" s="67"/>
      <c r="V5" s="67"/>
      <c r="W5" s="67"/>
      <c r="X5" s="68"/>
      <c r="Y5" s="69"/>
      <c r="Z5" s="70" t="n">
        <f aca="false">Y5/9</f>
        <v>0</v>
      </c>
      <c r="AA5" s="71"/>
      <c r="AB5" s="70" t="n">
        <f aca="false">AA5/18</f>
        <v>0</v>
      </c>
      <c r="AC5" s="72"/>
      <c r="AD5" s="73" t="n">
        <f aca="false">SUM(Y5,AA5)</f>
        <v>0</v>
      </c>
      <c r="AE5" s="70" t="n">
        <f aca="false">AD5/27</f>
        <v>0</v>
      </c>
      <c r="AF5" s="74"/>
      <c r="AG5" s="75" t="n">
        <f aca="false">AF5/8</f>
        <v>0</v>
      </c>
      <c r="AH5" s="74"/>
      <c r="AI5" s="75" t="n">
        <f aca="false">AH5/8</f>
        <v>0</v>
      </c>
      <c r="AJ5" s="74"/>
      <c r="AK5" s="75" t="n">
        <f aca="false">AJ5/10</f>
        <v>0</v>
      </c>
      <c r="AL5" s="76"/>
      <c r="AM5" s="77" t="n">
        <f aca="false">SUM(AF5,AH5,AJ5)</f>
        <v>0</v>
      </c>
      <c r="AN5" s="75" t="n">
        <f aca="false">AM5/26</f>
        <v>0</v>
      </c>
      <c r="AO5" s="78"/>
      <c r="AP5" s="71" t="n">
        <f aca="false">AF5</f>
        <v>0</v>
      </c>
      <c r="AQ5" s="70" t="n">
        <f aca="false">AP5/$AP$3</f>
        <v>0</v>
      </c>
      <c r="AR5" s="73" t="str">
        <f aca="false">IF((AP5/AP$3)&gt;0.899999999999999,"ME",IF((AP5/AP$3)&gt;0.749999999999999,"MP",IF((AP5/AP$3)&gt;0.599999999999999,"DP","WB")))</f>
        <v>WB</v>
      </c>
      <c r="AS5" s="73" t="n">
        <f aca="false">Y5+AH5</f>
        <v>0</v>
      </c>
      <c r="AT5" s="70" t="n">
        <f aca="false">AS5/$AS$3</f>
        <v>0</v>
      </c>
      <c r="AU5" s="79" t="str">
        <f aca="false">IF((AS5/AS$3)&gt;0.899999999999999,"ME",IF((AS5/AS$3)&gt;0.749999999999999,"MP",IF((AS5/AS$3)&gt;0.599999999999999,"DP","WB")))</f>
        <v>WB</v>
      </c>
      <c r="AV5" s="79" t="n">
        <f aca="false">AJ5+AA5</f>
        <v>0</v>
      </c>
      <c r="AW5" s="70" t="n">
        <f aca="false">AV5/$AV$3</f>
        <v>0</v>
      </c>
      <c r="AX5" s="79" t="str">
        <f aca="false">IF((AV5/AV$3)&gt;0.899999999999999,"ME",IF((AV5/AV$3)&gt;0.749999999999999,"MP",IF((AV5/AV$3)&gt;0.599999999999999,"DP","WB")))</f>
        <v>WB</v>
      </c>
      <c r="AY5" s="73"/>
    </row>
    <row r="6" customFormat="false" ht="14.9" hidden="false" customHeight="false" outlineLevel="0" collapsed="false">
      <c r="A6" s="60" t="n">
        <v>3</v>
      </c>
      <c r="B6" s="61" t="s">
        <v>100</v>
      </c>
      <c r="C6" s="62" t="n">
        <v>91</v>
      </c>
      <c r="D6" s="80"/>
      <c r="E6" s="81" t="n">
        <v>3</v>
      </c>
      <c r="F6" s="65" t="n">
        <v>29</v>
      </c>
      <c r="G6" s="65" t="n">
        <v>7</v>
      </c>
      <c r="H6" s="65" t="n">
        <v>2</v>
      </c>
      <c r="I6" s="66" t="n">
        <v>18</v>
      </c>
      <c r="J6" s="65" t="n">
        <v>18</v>
      </c>
      <c r="K6" s="65" t="n">
        <v>26</v>
      </c>
      <c r="L6" s="65" t="n">
        <v>0</v>
      </c>
      <c r="M6" s="66" t="n">
        <v>14</v>
      </c>
      <c r="N6" s="66" t="n">
        <v>4</v>
      </c>
      <c r="O6" s="66" t="n">
        <v>1</v>
      </c>
      <c r="P6" s="67" t="n">
        <v>50</v>
      </c>
      <c r="Q6" s="67" t="s">
        <v>102</v>
      </c>
      <c r="R6" s="67" t="n">
        <v>30</v>
      </c>
      <c r="S6" s="67" t="s">
        <v>103</v>
      </c>
      <c r="T6" s="67" t="n">
        <v>0</v>
      </c>
      <c r="U6" s="67" t="s">
        <v>101</v>
      </c>
      <c r="V6" s="67" t="n">
        <v>1</v>
      </c>
      <c r="W6" s="67" t="s">
        <v>101</v>
      </c>
      <c r="X6" s="68" t="s">
        <v>102</v>
      </c>
      <c r="Y6" s="69" t="n">
        <v>2</v>
      </c>
      <c r="Z6" s="70" t="n">
        <f aca="false">Y6/9</f>
        <v>0.222222222222222</v>
      </c>
      <c r="AA6" s="71" t="n">
        <v>18</v>
      </c>
      <c r="AB6" s="70" t="n">
        <f aca="false">AA6/18</f>
        <v>1</v>
      </c>
      <c r="AC6" s="72"/>
      <c r="AD6" s="73" t="n">
        <f aca="false">SUM(Y6,AA6)</f>
        <v>20</v>
      </c>
      <c r="AE6" s="70" t="n">
        <f aca="false">AD6/27</f>
        <v>0.740740740740741</v>
      </c>
      <c r="AF6" s="74" t="n">
        <v>8</v>
      </c>
      <c r="AG6" s="75" t="n">
        <f aca="false">AF6/8</f>
        <v>1</v>
      </c>
      <c r="AH6" s="74" t="n">
        <v>2</v>
      </c>
      <c r="AI6" s="75" t="n">
        <f aca="false">AH6/8</f>
        <v>0.25</v>
      </c>
      <c r="AJ6" s="74" t="n">
        <v>4</v>
      </c>
      <c r="AK6" s="75" t="n">
        <f aca="false">AJ6/10</f>
        <v>0.4</v>
      </c>
      <c r="AL6" s="76"/>
      <c r="AM6" s="77" t="n">
        <f aca="false">SUM(AF6,AH6,AJ6)</f>
        <v>14</v>
      </c>
      <c r="AN6" s="75" t="n">
        <f aca="false">AM6/26</f>
        <v>0.538461538461538</v>
      </c>
      <c r="AO6" s="78"/>
      <c r="AP6" s="71" t="n">
        <f aca="false">AF6</f>
        <v>8</v>
      </c>
      <c r="AQ6" s="70" t="n">
        <f aca="false">AP6/$AP$3</f>
        <v>1</v>
      </c>
      <c r="AR6" s="73" t="str">
        <f aca="false">IF((AP6/AP$3)&gt;0.899999999999999,"ME",IF((AP6/AP$3)&gt;0.749999999999999,"MP",IF((AP6/AP$3)&gt;0.599999999999999,"DP","WB")))</f>
        <v>ME</v>
      </c>
      <c r="AS6" s="73" t="n">
        <f aca="false">Y6+AH6</f>
        <v>4</v>
      </c>
      <c r="AT6" s="70" t="n">
        <f aca="false">AS6/$AS$3</f>
        <v>0.25</v>
      </c>
      <c r="AU6" s="79" t="str">
        <f aca="false">IF((AS6/AS$3)&gt;0.899999999999999,"ME",IF((AS6/AS$3)&gt;0.749999999999999,"MP",IF((AS6/AS$3)&gt;0.599999999999999,"DP","WB")))</f>
        <v>WB</v>
      </c>
      <c r="AV6" s="79" t="n">
        <f aca="false">AJ6+AA6</f>
        <v>22</v>
      </c>
      <c r="AW6" s="70" t="n">
        <f aca="false">AV6/$AV$3</f>
        <v>0.785714285714286</v>
      </c>
      <c r="AX6" s="79" t="str">
        <f aca="false">IF((AV6/AV$3)&gt;0.899999999999999,"ME",IF((AV6/AV$3)&gt;0.749999999999999,"MP",IF((AV6/AV$3)&gt;0.599999999999999,"DP","WB")))</f>
        <v>MP</v>
      </c>
      <c r="AY6" s="73"/>
    </row>
    <row r="7" customFormat="false" ht="14.9" hidden="false" customHeight="false" outlineLevel="0" collapsed="false">
      <c r="A7" s="60" t="n">
        <v>4</v>
      </c>
      <c r="B7" s="61" t="s">
        <v>100</v>
      </c>
      <c r="C7" s="62" t="n">
        <v>94</v>
      </c>
      <c r="D7" s="80"/>
      <c r="E7" s="81" t="n">
        <v>4</v>
      </c>
      <c r="F7" s="65" t="n">
        <v>26</v>
      </c>
      <c r="G7" s="65" t="n">
        <v>6</v>
      </c>
      <c r="H7" s="65" t="n">
        <v>3</v>
      </c>
      <c r="I7" s="66" t="n">
        <v>18</v>
      </c>
      <c r="J7" s="65" t="n">
        <v>17</v>
      </c>
      <c r="K7" s="65" t="n">
        <v>27</v>
      </c>
      <c r="L7" s="65" t="n">
        <v>1</v>
      </c>
      <c r="M7" s="66" t="n">
        <v>20</v>
      </c>
      <c r="N7" s="66" t="n">
        <v>6</v>
      </c>
      <c r="O7" s="66" t="n">
        <v>1</v>
      </c>
      <c r="P7" s="67" t="n">
        <v>55</v>
      </c>
      <c r="Q7" s="67" t="s">
        <v>102</v>
      </c>
      <c r="R7" s="67" t="n">
        <v>33</v>
      </c>
      <c r="S7" s="67" t="s">
        <v>103</v>
      </c>
      <c r="T7" s="67" t="n">
        <v>1</v>
      </c>
      <c r="U7" s="67" t="s">
        <v>103</v>
      </c>
      <c r="V7" s="67" t="n">
        <v>1</v>
      </c>
      <c r="W7" s="67" t="s">
        <v>101</v>
      </c>
      <c r="X7" s="68" t="s">
        <v>102</v>
      </c>
      <c r="Y7" s="69" t="n">
        <v>6</v>
      </c>
      <c r="Z7" s="70" t="n">
        <f aca="false">Y7/9</f>
        <v>0.666666666666667</v>
      </c>
      <c r="AA7" s="71" t="n">
        <v>16</v>
      </c>
      <c r="AB7" s="70" t="n">
        <f aca="false">AA7/18</f>
        <v>0.888888888888889</v>
      </c>
      <c r="AC7" s="72"/>
      <c r="AD7" s="73" t="n">
        <f aca="false">SUM(Y7,AA7)</f>
        <v>22</v>
      </c>
      <c r="AE7" s="70" t="n">
        <f aca="false">AD7/27</f>
        <v>0.814814814814815</v>
      </c>
      <c r="AF7" s="74" t="n">
        <v>7</v>
      </c>
      <c r="AG7" s="75" t="n">
        <f aca="false">AF7/8</f>
        <v>0.875</v>
      </c>
      <c r="AH7" s="74" t="n">
        <v>4</v>
      </c>
      <c r="AI7" s="75" t="n">
        <f aca="false">AH7/8</f>
        <v>0.5</v>
      </c>
      <c r="AJ7" s="74" t="n">
        <v>5</v>
      </c>
      <c r="AK7" s="75" t="n">
        <f aca="false">AJ7/10</f>
        <v>0.5</v>
      </c>
      <c r="AL7" s="76"/>
      <c r="AM7" s="77" t="n">
        <f aca="false">SUM(AF7,AH7,AJ7)</f>
        <v>16</v>
      </c>
      <c r="AN7" s="75" t="n">
        <f aca="false">AM7/26</f>
        <v>0.615384615384615</v>
      </c>
      <c r="AO7" s="78"/>
      <c r="AP7" s="71" t="n">
        <f aca="false">AF7</f>
        <v>7</v>
      </c>
      <c r="AQ7" s="70" t="n">
        <f aca="false">AP7/$AP$3</f>
        <v>0.875</v>
      </c>
      <c r="AR7" s="73" t="str">
        <f aca="false">IF((AP7/AP$3)&gt;0.899999999999999,"ME",IF((AP7/AP$3)&gt;0.749999999999999,"MP",IF((AP7/AP$3)&gt;0.599999999999999,"DP","WB")))</f>
        <v>MP</v>
      </c>
      <c r="AS7" s="73" t="n">
        <f aca="false">Y7+AH7</f>
        <v>10</v>
      </c>
      <c r="AT7" s="70" t="n">
        <f aca="false">AS7/$AS$3</f>
        <v>0.625</v>
      </c>
      <c r="AU7" s="79" t="str">
        <f aca="false">IF((AS7/AS$3)&gt;0.899999999999999,"ME",IF((AS7/AS$3)&gt;0.749999999999999,"MP",IF((AS7/AS$3)&gt;0.599999999999999,"DP","WB")))</f>
        <v>DP</v>
      </c>
      <c r="AV7" s="79" t="n">
        <f aca="false">AJ7+AA7</f>
        <v>21</v>
      </c>
      <c r="AW7" s="70" t="n">
        <f aca="false">AV7/$AV$3</f>
        <v>0.75</v>
      </c>
      <c r="AX7" s="79" t="str">
        <f aca="false">IF((AV7/AV$3)&gt;0.899999999999999,"ME",IF((AV7/AV$3)&gt;0.749999999999999,"MP",IF((AV7/AV$3)&gt;0.599999999999999,"DP","WB")))</f>
        <v>DP</v>
      </c>
      <c r="AY7" s="73"/>
    </row>
    <row r="8" customFormat="false" ht="14.9" hidden="false" customHeight="false" outlineLevel="0" collapsed="false">
      <c r="A8" s="60" t="n">
        <v>5</v>
      </c>
      <c r="B8" s="61" t="s">
        <v>100</v>
      </c>
      <c r="C8" s="62" t="n">
        <v>94</v>
      </c>
      <c r="D8" s="80"/>
      <c r="E8" s="81" t="n">
        <v>3</v>
      </c>
      <c r="F8" s="65" t="n">
        <v>24</v>
      </c>
      <c r="G8" s="65" t="n">
        <v>5</v>
      </c>
      <c r="H8" s="65" t="n">
        <v>2</v>
      </c>
      <c r="I8" s="66" t="n">
        <v>15</v>
      </c>
      <c r="J8" s="65" t="n">
        <v>8</v>
      </c>
      <c r="K8" s="65" t="n">
        <v>27</v>
      </c>
      <c r="L8" s="65" t="n">
        <v>0</v>
      </c>
      <c r="M8" s="66" t="n">
        <v>16</v>
      </c>
      <c r="N8" s="66" t="n">
        <v>5</v>
      </c>
      <c r="O8" s="66" t="n">
        <v>3</v>
      </c>
      <c r="P8" s="67" t="n">
        <v>39</v>
      </c>
      <c r="Q8" s="67" t="s">
        <v>104</v>
      </c>
      <c r="R8" s="67" t="n">
        <v>32</v>
      </c>
      <c r="S8" s="67" t="s">
        <v>103</v>
      </c>
      <c r="T8" s="67" t="n">
        <v>0</v>
      </c>
      <c r="U8" s="67" t="s">
        <v>101</v>
      </c>
      <c r="V8" s="67" t="n">
        <v>3</v>
      </c>
      <c r="W8" s="67" t="s">
        <v>102</v>
      </c>
      <c r="X8" s="68" t="s">
        <v>102</v>
      </c>
      <c r="Y8" s="69" t="n">
        <v>4</v>
      </c>
      <c r="Z8" s="70" t="n">
        <f aca="false">Y8/9</f>
        <v>0.444444444444444</v>
      </c>
      <c r="AA8" s="71" t="n">
        <v>9</v>
      </c>
      <c r="AB8" s="70" t="n">
        <f aca="false">AA8/18</f>
        <v>0.5</v>
      </c>
      <c r="AC8" s="72"/>
      <c r="AD8" s="73" t="n">
        <f aca="false">SUM(Y8,AA8)</f>
        <v>13</v>
      </c>
      <c r="AE8" s="70" t="n">
        <f aca="false">AD8/27</f>
        <v>0.481481481481481</v>
      </c>
      <c r="AF8" s="74" t="n">
        <v>8</v>
      </c>
      <c r="AG8" s="75" t="n">
        <f aca="false">AF8/8</f>
        <v>1</v>
      </c>
      <c r="AH8" s="74" t="n">
        <v>8</v>
      </c>
      <c r="AI8" s="75" t="n">
        <f aca="false">AH8/8</f>
        <v>1</v>
      </c>
      <c r="AJ8" s="74" t="n">
        <v>7</v>
      </c>
      <c r="AK8" s="75" t="n">
        <f aca="false">AJ8/10</f>
        <v>0.7</v>
      </c>
      <c r="AL8" s="76"/>
      <c r="AM8" s="77" t="n">
        <f aca="false">SUM(AF8,AH8,AJ8)</f>
        <v>23</v>
      </c>
      <c r="AN8" s="75" t="n">
        <f aca="false">AM8/26</f>
        <v>0.884615384615385</v>
      </c>
      <c r="AO8" s="78"/>
      <c r="AP8" s="71" t="n">
        <f aca="false">AF8</f>
        <v>8</v>
      </c>
      <c r="AQ8" s="70" t="n">
        <f aca="false">AP8/$AP$3</f>
        <v>1</v>
      </c>
      <c r="AR8" s="73" t="str">
        <f aca="false">IF((AP8/AP$3)&gt;0.899999999999999,"ME",IF((AP8/AP$3)&gt;0.749999999999999,"MP",IF((AP8/AP$3)&gt;0.599999999999999,"DP","WB")))</f>
        <v>ME</v>
      </c>
      <c r="AS8" s="73" t="n">
        <f aca="false">Y8+AH8</f>
        <v>12</v>
      </c>
      <c r="AT8" s="70" t="n">
        <f aca="false">AS8/$AS$3</f>
        <v>0.75</v>
      </c>
      <c r="AU8" s="79" t="str">
        <f aca="false">IF((AS8/AS$3)&gt;0.899999999999999,"ME",IF((AS8/AS$3)&gt;0.749999999999999,"MP",IF((AS8/AS$3)&gt;0.599999999999999,"DP","WB")))</f>
        <v>DP</v>
      </c>
      <c r="AV8" s="79" t="n">
        <f aca="false">AJ8+AA8</f>
        <v>16</v>
      </c>
      <c r="AW8" s="70" t="n">
        <f aca="false">AV8/$AV$3</f>
        <v>0.571428571428571</v>
      </c>
      <c r="AX8" s="79" t="str">
        <f aca="false">IF((AV8/AV$3)&gt;0.899999999999999,"ME",IF((AV8/AV$3)&gt;0.749999999999999,"MP",IF((AV8/AV$3)&gt;0.599999999999999,"DP","WB")))</f>
        <v>WB</v>
      </c>
      <c r="AY8" s="73"/>
    </row>
    <row r="9" customFormat="false" ht="14.9" hidden="false" customHeight="false" outlineLevel="0" collapsed="false">
      <c r="A9" s="60" t="n">
        <v>6</v>
      </c>
      <c r="B9" s="61" t="s">
        <v>100</v>
      </c>
      <c r="C9" s="62" t="n">
        <v>94</v>
      </c>
      <c r="D9" s="80"/>
      <c r="E9" s="81"/>
      <c r="F9" s="65"/>
      <c r="G9" s="65"/>
      <c r="H9" s="65" t="n">
        <v>2</v>
      </c>
      <c r="I9" s="66" t="n">
        <v>15</v>
      </c>
      <c r="J9" s="65" t="n">
        <v>12</v>
      </c>
      <c r="K9" s="65" t="n">
        <v>27</v>
      </c>
      <c r="L9" s="65" t="n">
        <v>0</v>
      </c>
      <c r="M9" s="66" t="n">
        <v>14</v>
      </c>
      <c r="N9" s="66" t="n">
        <v>6</v>
      </c>
      <c r="O9" s="66" t="n">
        <v>2</v>
      </c>
      <c r="P9" s="67" t="n">
        <v>41</v>
      </c>
      <c r="Q9" s="67" t="s">
        <v>104</v>
      </c>
      <c r="R9" s="67" t="n">
        <v>33</v>
      </c>
      <c r="S9" s="67" t="s">
        <v>103</v>
      </c>
      <c r="T9" s="67" t="n">
        <v>0</v>
      </c>
      <c r="U9" s="67" t="s">
        <v>101</v>
      </c>
      <c r="V9" s="67" t="n">
        <v>2</v>
      </c>
      <c r="W9" s="67" t="s">
        <v>101</v>
      </c>
      <c r="X9" s="68" t="s">
        <v>102</v>
      </c>
      <c r="Y9" s="69" t="n">
        <v>3</v>
      </c>
      <c r="Z9" s="70" t="n">
        <f aca="false">Y9/9</f>
        <v>0.333333333333333</v>
      </c>
      <c r="AA9" s="71" t="n">
        <v>16</v>
      </c>
      <c r="AB9" s="70" t="n">
        <f aca="false">AA9/18</f>
        <v>0.888888888888889</v>
      </c>
      <c r="AC9" s="72"/>
      <c r="AD9" s="73" t="n">
        <f aca="false">SUM(Y9,AA9)</f>
        <v>19</v>
      </c>
      <c r="AE9" s="70" t="n">
        <f aca="false">AD9/27</f>
        <v>0.703703703703704</v>
      </c>
      <c r="AF9" s="74" t="n">
        <v>5</v>
      </c>
      <c r="AG9" s="75" t="n">
        <f aca="false">AF9/8</f>
        <v>0.625</v>
      </c>
      <c r="AH9" s="74" t="n">
        <v>8</v>
      </c>
      <c r="AI9" s="75" t="n">
        <f aca="false">AH9/8</f>
        <v>1</v>
      </c>
      <c r="AJ9" s="74" t="n">
        <v>1</v>
      </c>
      <c r="AK9" s="75" t="n">
        <f aca="false">AJ9/10</f>
        <v>0.1</v>
      </c>
      <c r="AL9" s="76"/>
      <c r="AM9" s="77" t="n">
        <f aca="false">SUM(AF9,AH9,AJ9)</f>
        <v>14</v>
      </c>
      <c r="AN9" s="75" t="n">
        <f aca="false">AM9/26</f>
        <v>0.538461538461538</v>
      </c>
      <c r="AO9" s="78"/>
      <c r="AP9" s="71" t="n">
        <f aca="false">AF9</f>
        <v>5</v>
      </c>
      <c r="AQ9" s="70" t="n">
        <f aca="false">AP9/$AP$3</f>
        <v>0.625</v>
      </c>
      <c r="AR9" s="73" t="str">
        <f aca="false">IF((AP9/AP$3)&gt;0.899999999999999,"ME",IF((AP9/AP$3)&gt;0.749999999999999,"MP",IF((AP9/AP$3)&gt;0.599999999999999,"DP","WB")))</f>
        <v>DP</v>
      </c>
      <c r="AS9" s="73" t="n">
        <f aca="false">Y9+AH9</f>
        <v>11</v>
      </c>
      <c r="AT9" s="70" t="n">
        <f aca="false">AS9/$AS$3</f>
        <v>0.6875</v>
      </c>
      <c r="AU9" s="79" t="str">
        <f aca="false">IF((AS9/AS$3)&gt;0.899999999999999,"ME",IF((AS9/AS$3)&gt;0.749999999999999,"MP",IF((AS9/AS$3)&gt;0.599999999999999,"DP","WB")))</f>
        <v>DP</v>
      </c>
      <c r="AV9" s="79" t="n">
        <f aca="false">AJ9+AA9</f>
        <v>17</v>
      </c>
      <c r="AW9" s="70" t="n">
        <f aca="false">AV9/$AV$3</f>
        <v>0.607142857142857</v>
      </c>
      <c r="AX9" s="79" t="str">
        <f aca="false">IF((AV9/AV$3)&gt;0.899999999999999,"ME",IF((AV9/AV$3)&gt;0.749999999999999,"MP",IF((AV9/AV$3)&gt;0.599999999999999,"DP","WB")))</f>
        <v>DP</v>
      </c>
      <c r="AY9" s="73"/>
    </row>
    <row r="10" customFormat="false" ht="14.9" hidden="false" customHeight="false" outlineLevel="0" collapsed="false">
      <c r="A10" s="60" t="n">
        <v>7</v>
      </c>
      <c r="B10" s="61" t="s">
        <v>100</v>
      </c>
      <c r="C10" s="62" t="n">
        <v>91</v>
      </c>
      <c r="D10" s="82"/>
      <c r="E10" s="81" t="n">
        <v>4</v>
      </c>
      <c r="F10" s="65" t="n">
        <v>26</v>
      </c>
      <c r="G10" s="65" t="n">
        <v>7</v>
      </c>
      <c r="H10" s="65" t="n">
        <v>2</v>
      </c>
      <c r="I10" s="66" t="n">
        <v>16</v>
      </c>
      <c r="J10" s="65" t="n">
        <v>11</v>
      </c>
      <c r="K10" s="65" t="n">
        <v>18</v>
      </c>
      <c r="L10" s="65" t="n">
        <v>1</v>
      </c>
      <c r="M10" s="66" t="n">
        <v>18</v>
      </c>
      <c r="N10" s="66" t="n">
        <v>6</v>
      </c>
      <c r="O10" s="66" t="n">
        <v>2</v>
      </c>
      <c r="P10" s="67" t="n">
        <v>45</v>
      </c>
      <c r="Q10" s="67" t="s">
        <v>104</v>
      </c>
      <c r="R10" s="67" t="n">
        <v>24</v>
      </c>
      <c r="S10" s="67" t="s">
        <v>104</v>
      </c>
      <c r="T10" s="67" t="n">
        <v>1</v>
      </c>
      <c r="U10" s="67" t="s">
        <v>103</v>
      </c>
      <c r="V10" s="67" t="n">
        <v>2</v>
      </c>
      <c r="W10" s="67" t="s">
        <v>101</v>
      </c>
      <c r="X10" s="68" t="s">
        <v>104</v>
      </c>
      <c r="Y10" s="69" t="n">
        <v>6</v>
      </c>
      <c r="Z10" s="70" t="n">
        <f aca="false">Y10/9</f>
        <v>0.666666666666667</v>
      </c>
      <c r="AA10" s="71" t="n">
        <v>18</v>
      </c>
      <c r="AB10" s="70" t="n">
        <f aca="false">AA10/18</f>
        <v>1</v>
      </c>
      <c r="AC10" s="72"/>
      <c r="AD10" s="73" t="n">
        <f aca="false">SUM(Y10,AA10)</f>
        <v>24</v>
      </c>
      <c r="AE10" s="70" t="n">
        <f aca="false">AD10/27</f>
        <v>0.888888888888889</v>
      </c>
      <c r="AF10" s="74" t="n">
        <v>8</v>
      </c>
      <c r="AG10" s="75" t="n">
        <f aca="false">AF10/8</f>
        <v>1</v>
      </c>
      <c r="AH10" s="74" t="n">
        <v>7</v>
      </c>
      <c r="AI10" s="75" t="n">
        <f aca="false">AH10/8</f>
        <v>0.875</v>
      </c>
      <c r="AJ10" s="74" t="n">
        <v>6</v>
      </c>
      <c r="AK10" s="75" t="n">
        <f aca="false">AJ10/10</f>
        <v>0.6</v>
      </c>
      <c r="AL10" s="76"/>
      <c r="AM10" s="77" t="n">
        <f aca="false">SUM(AF10,AH10,AJ10)</f>
        <v>21</v>
      </c>
      <c r="AN10" s="75" t="n">
        <f aca="false">AM10/26</f>
        <v>0.807692307692308</v>
      </c>
      <c r="AO10" s="78"/>
      <c r="AP10" s="71" t="n">
        <f aca="false">AF10</f>
        <v>8</v>
      </c>
      <c r="AQ10" s="70" t="n">
        <f aca="false">AP10/$AP$3</f>
        <v>1</v>
      </c>
      <c r="AR10" s="73" t="str">
        <f aca="false">IF((AP10/AP$3)&gt;0.899999999999999,"ME",IF((AP10/AP$3)&gt;0.749999999999999,"MP",IF((AP10/AP$3)&gt;0.599999999999999,"DP","WB")))</f>
        <v>ME</v>
      </c>
      <c r="AS10" s="73" t="n">
        <f aca="false">Y10+AH10</f>
        <v>13</v>
      </c>
      <c r="AT10" s="70" t="n">
        <f aca="false">AS10/$AS$3</f>
        <v>0.8125</v>
      </c>
      <c r="AU10" s="79" t="str">
        <f aca="false">IF((AS10/AS$3)&gt;0.899999999999999,"ME",IF((AS10/AS$3)&gt;0.749999999999999,"MP",IF((AS10/AS$3)&gt;0.599999999999999,"DP","WB")))</f>
        <v>MP</v>
      </c>
      <c r="AV10" s="79" t="n">
        <f aca="false">AJ10+AA10</f>
        <v>24</v>
      </c>
      <c r="AW10" s="70" t="n">
        <f aca="false">AV10/$AV$3</f>
        <v>0.857142857142857</v>
      </c>
      <c r="AX10" s="79" t="str">
        <f aca="false">IF((AV10/AV$3)&gt;0.899999999999999,"ME",IF((AV10/AV$3)&gt;0.749999999999999,"MP",IF((AV10/AV$3)&gt;0.599999999999999,"DP","WB")))</f>
        <v>MP</v>
      </c>
      <c r="AY10" s="73"/>
    </row>
    <row r="11" customFormat="false" ht="14.9" hidden="false" customHeight="false" outlineLevel="0" collapsed="false">
      <c r="A11" s="60" t="n">
        <v>8</v>
      </c>
      <c r="B11" s="61" t="s">
        <v>100</v>
      </c>
      <c r="C11" s="62" t="n">
        <v>82</v>
      </c>
      <c r="D11" s="82"/>
      <c r="E11" s="81" t="n">
        <v>4</v>
      </c>
      <c r="F11" s="65" t="n">
        <v>15</v>
      </c>
      <c r="G11" s="65" t="n">
        <v>1</v>
      </c>
      <c r="H11" s="65" t="n">
        <v>1</v>
      </c>
      <c r="I11" s="66" t="n">
        <v>18</v>
      </c>
      <c r="J11" s="65" t="n">
        <v>19</v>
      </c>
      <c r="K11" s="65" t="n">
        <v>27</v>
      </c>
      <c r="L11" s="65" t="n">
        <v>1</v>
      </c>
      <c r="M11" s="66" t="n">
        <v>17</v>
      </c>
      <c r="N11" s="66" t="n">
        <v>3</v>
      </c>
      <c r="O11" s="66" t="n">
        <v>1</v>
      </c>
      <c r="P11" s="67" t="n">
        <v>54</v>
      </c>
      <c r="Q11" s="67" t="s">
        <v>102</v>
      </c>
      <c r="R11" s="67" t="n">
        <v>30</v>
      </c>
      <c r="S11" s="67" t="s">
        <v>103</v>
      </c>
      <c r="T11" s="67" t="n">
        <v>1</v>
      </c>
      <c r="U11" s="67" t="s">
        <v>103</v>
      </c>
      <c r="V11" s="67" t="n">
        <v>1</v>
      </c>
      <c r="W11" s="67" t="s">
        <v>101</v>
      </c>
      <c r="X11" s="68" t="s">
        <v>102</v>
      </c>
      <c r="Y11" s="69" t="n">
        <v>5</v>
      </c>
      <c r="Z11" s="70" t="n">
        <f aca="false">Y11/9</f>
        <v>0.555555555555556</v>
      </c>
      <c r="AA11" s="71" t="n">
        <v>18</v>
      </c>
      <c r="AB11" s="70" t="n">
        <f aca="false">AA11/18</f>
        <v>1</v>
      </c>
      <c r="AC11" s="72"/>
      <c r="AD11" s="73" t="n">
        <f aca="false">SUM(Y11,AA11)</f>
        <v>23</v>
      </c>
      <c r="AE11" s="70" t="n">
        <f aca="false">AD11/27</f>
        <v>0.851851851851852</v>
      </c>
      <c r="AF11" s="74" t="n">
        <v>8</v>
      </c>
      <c r="AG11" s="75" t="n">
        <f aca="false">AF11/8</f>
        <v>1</v>
      </c>
      <c r="AH11" s="74" t="n">
        <v>2</v>
      </c>
      <c r="AI11" s="75" t="n">
        <f aca="false">AH11/8</f>
        <v>0.25</v>
      </c>
      <c r="AJ11" s="74" t="n">
        <v>8</v>
      </c>
      <c r="AK11" s="75" t="n">
        <f aca="false">AJ11/10</f>
        <v>0.8</v>
      </c>
      <c r="AL11" s="76"/>
      <c r="AM11" s="77" t="n">
        <f aca="false">SUM(AF11,AH11,AJ11)</f>
        <v>18</v>
      </c>
      <c r="AN11" s="75" t="n">
        <f aca="false">AM11/26</f>
        <v>0.692307692307692</v>
      </c>
      <c r="AO11" s="78"/>
      <c r="AP11" s="71" t="n">
        <f aca="false">AF11</f>
        <v>8</v>
      </c>
      <c r="AQ11" s="70" t="n">
        <f aca="false">AP11/$AP$3</f>
        <v>1</v>
      </c>
      <c r="AR11" s="73" t="str">
        <f aca="false">IF((AP11/AP$3)&gt;0.899999999999999,"ME",IF((AP11/AP$3)&gt;0.749999999999999,"MP",IF((AP11/AP$3)&gt;0.599999999999999,"DP","WB")))</f>
        <v>ME</v>
      </c>
      <c r="AS11" s="73" t="n">
        <f aca="false">Y11+AH11</f>
        <v>7</v>
      </c>
      <c r="AT11" s="70" t="n">
        <f aca="false">AS11/$AS$3</f>
        <v>0.4375</v>
      </c>
      <c r="AU11" s="79" t="str">
        <f aca="false">IF((AS11/AS$3)&gt;0.899999999999999,"ME",IF((AS11/AS$3)&gt;0.749999999999999,"MP",IF((AS11/AS$3)&gt;0.599999999999999,"DP","WB")))</f>
        <v>WB</v>
      </c>
      <c r="AV11" s="79" t="n">
        <f aca="false">AJ11+AA11</f>
        <v>26</v>
      </c>
      <c r="AW11" s="70" t="n">
        <f aca="false">AV11/$AV$3</f>
        <v>0.928571428571429</v>
      </c>
      <c r="AX11" s="79" t="str">
        <f aca="false">IF((AV11/AV$3)&gt;0.899999999999999,"ME",IF((AV11/AV$3)&gt;0.749999999999999,"MP",IF((AV11/AV$3)&gt;0.599999999999999,"DP","WB")))</f>
        <v>ME</v>
      </c>
      <c r="AY11" s="73"/>
    </row>
    <row r="12" customFormat="false" ht="14.9" hidden="false" customHeight="false" outlineLevel="0" collapsed="false">
      <c r="A12" s="60" t="n">
        <v>9</v>
      </c>
      <c r="B12" s="61" t="s">
        <v>100</v>
      </c>
      <c r="C12" s="62" t="n">
        <v>100</v>
      </c>
      <c r="D12" s="82"/>
      <c r="E12" s="81" t="n">
        <v>6</v>
      </c>
      <c r="F12" s="65" t="n">
        <v>27</v>
      </c>
      <c r="G12" s="65" t="n">
        <v>8</v>
      </c>
      <c r="H12" s="65" t="n">
        <v>3</v>
      </c>
      <c r="I12" s="66" t="n">
        <v>19</v>
      </c>
      <c r="J12" s="65" t="n">
        <v>21</v>
      </c>
      <c r="K12" s="65" t="n">
        <v>27</v>
      </c>
      <c r="L12" s="65" t="n">
        <v>0</v>
      </c>
      <c r="M12" s="66" t="n">
        <v>20</v>
      </c>
      <c r="N12" s="66" t="n">
        <v>6</v>
      </c>
      <c r="O12" s="66" t="n">
        <v>2</v>
      </c>
      <c r="P12" s="67" t="n">
        <v>60</v>
      </c>
      <c r="Q12" s="67" t="s">
        <v>103</v>
      </c>
      <c r="R12" s="67" t="n">
        <v>33</v>
      </c>
      <c r="S12" s="67" t="s">
        <v>103</v>
      </c>
      <c r="T12" s="67" t="n">
        <v>0</v>
      </c>
      <c r="U12" s="67" t="s">
        <v>101</v>
      </c>
      <c r="V12" s="67" t="n">
        <v>2</v>
      </c>
      <c r="W12" s="67" t="s">
        <v>101</v>
      </c>
      <c r="X12" s="68" t="s">
        <v>102</v>
      </c>
      <c r="Y12" s="69" t="n">
        <v>6</v>
      </c>
      <c r="Z12" s="70" t="n">
        <f aca="false">Y12/9</f>
        <v>0.666666666666667</v>
      </c>
      <c r="AA12" s="71" t="n">
        <v>14</v>
      </c>
      <c r="AB12" s="70" t="n">
        <f aca="false">AA12/18</f>
        <v>0.777777777777778</v>
      </c>
      <c r="AC12" s="72"/>
      <c r="AD12" s="73" t="n">
        <f aca="false">SUM(Y12,AA12)</f>
        <v>20</v>
      </c>
      <c r="AE12" s="70" t="n">
        <f aca="false">AD12/27</f>
        <v>0.740740740740741</v>
      </c>
      <c r="AF12" s="74" t="n">
        <v>8</v>
      </c>
      <c r="AG12" s="75" t="n">
        <f aca="false">AF12/8</f>
        <v>1</v>
      </c>
      <c r="AH12" s="74" t="n">
        <v>7</v>
      </c>
      <c r="AI12" s="75" t="n">
        <f aca="false">AH12/8</f>
        <v>0.875</v>
      </c>
      <c r="AJ12" s="74" t="n">
        <v>6</v>
      </c>
      <c r="AK12" s="75" t="n">
        <f aca="false">AJ12/10</f>
        <v>0.6</v>
      </c>
      <c r="AL12" s="76"/>
      <c r="AM12" s="77" t="n">
        <f aca="false">SUM(AF12,AH12,AJ12)</f>
        <v>21</v>
      </c>
      <c r="AN12" s="75" t="n">
        <f aca="false">AM12/26</f>
        <v>0.807692307692308</v>
      </c>
      <c r="AO12" s="78"/>
      <c r="AP12" s="71" t="n">
        <f aca="false">AF12</f>
        <v>8</v>
      </c>
      <c r="AQ12" s="70" t="n">
        <f aca="false">AP12/$AP$3</f>
        <v>1</v>
      </c>
      <c r="AR12" s="73" t="str">
        <f aca="false">IF((AP12/AP$3)&gt;0.899999999999999,"ME",IF((AP12/AP$3)&gt;0.749999999999999,"MP",IF((AP12/AP$3)&gt;0.599999999999999,"DP","WB")))</f>
        <v>ME</v>
      </c>
      <c r="AS12" s="73" t="n">
        <f aca="false">Y12+AH12</f>
        <v>13</v>
      </c>
      <c r="AT12" s="70" t="n">
        <f aca="false">AS12/$AS$3</f>
        <v>0.8125</v>
      </c>
      <c r="AU12" s="79" t="str">
        <f aca="false">IF((AS12/AS$3)&gt;0.899999999999999,"ME",IF((AS12/AS$3)&gt;0.749999999999999,"MP",IF((AS12/AS$3)&gt;0.599999999999999,"DP","WB")))</f>
        <v>MP</v>
      </c>
      <c r="AV12" s="79" t="n">
        <f aca="false">AJ12+AA12</f>
        <v>20</v>
      </c>
      <c r="AW12" s="70" t="n">
        <f aca="false">AV12/$AV$3</f>
        <v>0.714285714285714</v>
      </c>
      <c r="AX12" s="79" t="str">
        <f aca="false">IF((AV12/AV$3)&gt;0.899999999999999,"ME",IF((AV12/AV$3)&gt;0.749999999999999,"MP",IF((AV12/AV$3)&gt;0.599999999999999,"DP","WB")))</f>
        <v>DP</v>
      </c>
      <c r="AY12" s="73"/>
    </row>
    <row r="13" customFormat="false" ht="14.9" hidden="false" customHeight="false" outlineLevel="0" collapsed="false">
      <c r="A13" s="60" t="n">
        <v>10</v>
      </c>
      <c r="B13" s="61" t="s">
        <v>100</v>
      </c>
      <c r="C13" s="62" t="n">
        <v>94</v>
      </c>
      <c r="D13" s="82"/>
      <c r="E13" s="81" t="n">
        <v>3</v>
      </c>
      <c r="F13" s="65" t="n">
        <v>15</v>
      </c>
      <c r="G13" s="65" t="n">
        <v>3</v>
      </c>
      <c r="H13" s="65" t="n">
        <v>1</v>
      </c>
      <c r="I13" s="66" t="n">
        <v>18</v>
      </c>
      <c r="J13" s="65" t="n">
        <v>19</v>
      </c>
      <c r="K13" s="65" t="n">
        <v>27</v>
      </c>
      <c r="L13" s="65" t="n">
        <v>0</v>
      </c>
      <c r="M13" s="66" t="n">
        <v>17</v>
      </c>
      <c r="N13" s="66" t="n">
        <v>4</v>
      </c>
      <c r="O13" s="66" t="n">
        <v>2</v>
      </c>
      <c r="P13" s="67" t="n">
        <v>54</v>
      </c>
      <c r="Q13" s="67" t="s">
        <v>102</v>
      </c>
      <c r="R13" s="67" t="n">
        <v>31</v>
      </c>
      <c r="S13" s="67" t="s">
        <v>103</v>
      </c>
      <c r="T13" s="67" t="n">
        <v>0</v>
      </c>
      <c r="U13" s="67" t="s">
        <v>101</v>
      </c>
      <c r="V13" s="67" t="n">
        <v>2</v>
      </c>
      <c r="W13" s="67" t="s">
        <v>101</v>
      </c>
      <c r="X13" s="68" t="s">
        <v>102</v>
      </c>
      <c r="Y13" s="69" t="n">
        <v>5</v>
      </c>
      <c r="Z13" s="70" t="n">
        <f aca="false">Y13/9</f>
        <v>0.555555555555556</v>
      </c>
      <c r="AA13" s="71" t="n">
        <v>16</v>
      </c>
      <c r="AB13" s="70" t="n">
        <f aca="false">AA13/18</f>
        <v>0.888888888888889</v>
      </c>
      <c r="AC13" s="72"/>
      <c r="AD13" s="73" t="n">
        <f aca="false">SUM(Y13,AA13)</f>
        <v>21</v>
      </c>
      <c r="AE13" s="70" t="n">
        <f aca="false">AD13/27</f>
        <v>0.777777777777778</v>
      </c>
      <c r="AF13" s="74" t="n">
        <v>8</v>
      </c>
      <c r="AG13" s="75" t="n">
        <f aca="false">AF13/8</f>
        <v>1</v>
      </c>
      <c r="AH13" s="74" t="n">
        <v>2</v>
      </c>
      <c r="AI13" s="75" t="n">
        <f aca="false">AH13/8</f>
        <v>0.25</v>
      </c>
      <c r="AJ13" s="74" t="n">
        <v>10</v>
      </c>
      <c r="AK13" s="75" t="n">
        <f aca="false">AJ13/10</f>
        <v>1</v>
      </c>
      <c r="AL13" s="76"/>
      <c r="AM13" s="77" t="n">
        <f aca="false">SUM(AF13,AH13,AJ13)</f>
        <v>20</v>
      </c>
      <c r="AN13" s="75" t="n">
        <f aca="false">AM13/26</f>
        <v>0.769230769230769</v>
      </c>
      <c r="AO13" s="78"/>
      <c r="AP13" s="71" t="n">
        <f aca="false">AF13</f>
        <v>8</v>
      </c>
      <c r="AQ13" s="70" t="n">
        <f aca="false">AP13/$AP$3</f>
        <v>1</v>
      </c>
      <c r="AR13" s="73" t="str">
        <f aca="false">IF((AP13/AP$3)&gt;0.899999999999999,"ME",IF((AP13/AP$3)&gt;0.749999999999999,"MP",IF((AP13/AP$3)&gt;0.599999999999999,"DP","WB")))</f>
        <v>ME</v>
      </c>
      <c r="AS13" s="73" t="n">
        <f aca="false">Y13+AH13</f>
        <v>7</v>
      </c>
      <c r="AT13" s="70" t="n">
        <f aca="false">AS13/$AS$3</f>
        <v>0.4375</v>
      </c>
      <c r="AU13" s="79" t="str">
        <f aca="false">IF((AS13/AS$3)&gt;0.899999999999999,"ME",IF((AS13/AS$3)&gt;0.749999999999999,"MP",IF((AS13/AS$3)&gt;0.599999999999999,"DP","WB")))</f>
        <v>WB</v>
      </c>
      <c r="AV13" s="79" t="n">
        <f aca="false">AJ13+AA13</f>
        <v>26</v>
      </c>
      <c r="AW13" s="70" t="n">
        <f aca="false">AV13/$AV$3</f>
        <v>0.928571428571429</v>
      </c>
      <c r="AX13" s="79" t="str">
        <f aca="false">IF((AV13/AV$3)&gt;0.899999999999999,"ME",IF((AV13/AV$3)&gt;0.749999999999999,"MP",IF((AV13/AV$3)&gt;0.599999999999999,"DP","WB")))</f>
        <v>ME</v>
      </c>
      <c r="AY13" s="73"/>
    </row>
    <row r="14" customFormat="false" ht="16.5" hidden="false" customHeight="true" outlineLevel="0" collapsed="false">
      <c r="A14" s="60" t="n">
        <v>11</v>
      </c>
      <c r="B14" s="61" t="s">
        <v>100</v>
      </c>
      <c r="C14" s="62"/>
      <c r="D14" s="82"/>
      <c r="E14" s="81" t="n">
        <v>6</v>
      </c>
      <c r="F14" s="65" t="n">
        <v>33</v>
      </c>
      <c r="G14" s="65" t="n">
        <v>8</v>
      </c>
      <c r="H14" s="65" t="n">
        <v>4</v>
      </c>
      <c r="I14" s="66" t="n">
        <v>19</v>
      </c>
      <c r="J14" s="65" t="n">
        <v>20</v>
      </c>
      <c r="K14" s="65" t="n">
        <v>27</v>
      </c>
      <c r="L14" s="65" t="n">
        <v>0</v>
      </c>
      <c r="M14" s="66" t="n">
        <v>20</v>
      </c>
      <c r="N14" s="66" t="n">
        <v>6</v>
      </c>
      <c r="O14" s="66" t="n">
        <v>3</v>
      </c>
      <c r="P14" s="67" t="n">
        <v>59</v>
      </c>
      <c r="Q14" s="67" t="s">
        <v>103</v>
      </c>
      <c r="R14" s="67" t="n">
        <v>33</v>
      </c>
      <c r="S14" s="67" t="s">
        <v>103</v>
      </c>
      <c r="T14" s="67" t="n">
        <v>0</v>
      </c>
      <c r="U14" s="67" t="s">
        <v>101</v>
      </c>
      <c r="V14" s="67" t="n">
        <v>3</v>
      </c>
      <c r="W14" s="67" t="s">
        <v>102</v>
      </c>
      <c r="X14" s="68" t="s">
        <v>102</v>
      </c>
      <c r="Y14" s="69" t="n">
        <v>7</v>
      </c>
      <c r="Z14" s="70" t="n">
        <f aca="false">Y14/9</f>
        <v>0.777777777777778</v>
      </c>
      <c r="AA14" s="71" t="n">
        <v>18</v>
      </c>
      <c r="AB14" s="70" t="n">
        <f aca="false">AA14/18</f>
        <v>1</v>
      </c>
      <c r="AC14" s="72"/>
      <c r="AD14" s="73" t="n">
        <f aca="false">SUM(Y14,AA14)</f>
        <v>25</v>
      </c>
      <c r="AE14" s="70" t="n">
        <f aca="false">AD14/27</f>
        <v>0.925925925925926</v>
      </c>
      <c r="AF14" s="74" t="n">
        <v>8</v>
      </c>
      <c r="AG14" s="75" t="n">
        <f aca="false">AF14/8</f>
        <v>1</v>
      </c>
      <c r="AH14" s="74" t="n">
        <v>4</v>
      </c>
      <c r="AI14" s="75" t="n">
        <f aca="false">AH14/8</f>
        <v>0.5</v>
      </c>
      <c r="AJ14" s="74" t="n">
        <v>9</v>
      </c>
      <c r="AK14" s="75" t="n">
        <f aca="false">AJ14/10</f>
        <v>0.9</v>
      </c>
      <c r="AL14" s="76"/>
      <c r="AM14" s="77" t="n">
        <f aca="false">SUM(AF14,AH14,AJ14)</f>
        <v>21</v>
      </c>
      <c r="AN14" s="75" t="n">
        <f aca="false">AM14/26</f>
        <v>0.807692307692308</v>
      </c>
      <c r="AO14" s="78"/>
      <c r="AP14" s="71" t="n">
        <f aca="false">AF14</f>
        <v>8</v>
      </c>
      <c r="AQ14" s="70" t="n">
        <f aca="false">AP14/$AP$3</f>
        <v>1</v>
      </c>
      <c r="AR14" s="73" t="str">
        <f aca="false">IF((AP14/AP$3)&gt;0.899999999999999,"ME",IF((AP14/AP$3)&gt;0.749999999999999,"MP",IF((AP14/AP$3)&gt;0.599999999999999,"DP","WB")))</f>
        <v>ME</v>
      </c>
      <c r="AS14" s="73" t="n">
        <f aca="false">Y14+AH14</f>
        <v>11</v>
      </c>
      <c r="AT14" s="70" t="n">
        <f aca="false">AS14/$AS$3</f>
        <v>0.6875</v>
      </c>
      <c r="AU14" s="79" t="str">
        <f aca="false">IF((AS14/AS$3)&gt;0.899999999999999,"ME",IF((AS14/AS$3)&gt;0.749999999999999,"MP",IF((AS14/AS$3)&gt;0.599999999999999,"DP","WB")))</f>
        <v>DP</v>
      </c>
      <c r="AV14" s="79" t="n">
        <f aca="false">AJ14+AA14</f>
        <v>27</v>
      </c>
      <c r="AW14" s="70" t="n">
        <f aca="false">AV14/$AV$3</f>
        <v>0.964285714285714</v>
      </c>
      <c r="AX14" s="79" t="str">
        <f aca="false">IF((AV14/AV$3)&gt;0.899999999999999,"ME",IF((AV14/AV$3)&gt;0.749999999999999,"MP",IF((AV14/AV$3)&gt;0.599999999999999,"DP","WB")))</f>
        <v>ME</v>
      </c>
      <c r="AY14" s="73"/>
    </row>
    <row r="15" customFormat="false" ht="16.5" hidden="false" customHeight="true" outlineLevel="0" collapsed="false">
      <c r="A15" s="60" t="n">
        <v>12</v>
      </c>
      <c r="B15" s="61" t="s">
        <v>100</v>
      </c>
      <c r="C15" s="62"/>
      <c r="D15" s="82"/>
      <c r="E15" s="81" t="n">
        <v>6</v>
      </c>
      <c r="F15" s="65" t="n">
        <v>31</v>
      </c>
      <c r="G15" s="65" t="n">
        <v>8</v>
      </c>
      <c r="H15" s="65" t="n">
        <v>2</v>
      </c>
      <c r="I15" s="66" t="n">
        <v>18</v>
      </c>
      <c r="J15" s="65" t="n">
        <v>19</v>
      </c>
      <c r="K15" s="65" t="n">
        <v>27</v>
      </c>
      <c r="L15" s="65" t="n">
        <v>0</v>
      </c>
      <c r="M15" s="66" t="n">
        <v>17</v>
      </c>
      <c r="N15" s="66" t="n">
        <v>6</v>
      </c>
      <c r="O15" s="66" t="n">
        <v>3</v>
      </c>
      <c r="P15" s="67" t="n">
        <v>54</v>
      </c>
      <c r="Q15" s="67" t="s">
        <v>102</v>
      </c>
      <c r="R15" s="67" t="n">
        <v>33</v>
      </c>
      <c r="S15" s="67" t="s">
        <v>103</v>
      </c>
      <c r="T15" s="67" t="n">
        <v>0</v>
      </c>
      <c r="U15" s="67" t="s">
        <v>101</v>
      </c>
      <c r="V15" s="67" t="n">
        <v>3</v>
      </c>
      <c r="W15" s="67" t="s">
        <v>102</v>
      </c>
      <c r="X15" s="68" t="s">
        <v>102</v>
      </c>
      <c r="Y15" s="69" t="n">
        <v>6</v>
      </c>
      <c r="Z15" s="70" t="n">
        <f aca="false">Y15/9</f>
        <v>0.666666666666667</v>
      </c>
      <c r="AA15" s="71" t="n">
        <v>16</v>
      </c>
      <c r="AB15" s="70" t="n">
        <f aca="false">AA15/18</f>
        <v>0.888888888888889</v>
      </c>
      <c r="AC15" s="72"/>
      <c r="AD15" s="73" t="n">
        <f aca="false">SUM(Y15,AA15)</f>
        <v>22</v>
      </c>
      <c r="AE15" s="70" t="n">
        <f aca="false">AD15/27</f>
        <v>0.814814814814815</v>
      </c>
      <c r="AF15" s="74" t="n">
        <v>7</v>
      </c>
      <c r="AG15" s="75" t="n">
        <f aca="false">AF15/8</f>
        <v>0.875</v>
      </c>
      <c r="AH15" s="74" t="n">
        <v>1</v>
      </c>
      <c r="AI15" s="75" t="n">
        <f aca="false">AH15/8</f>
        <v>0.125</v>
      </c>
      <c r="AJ15" s="74" t="n">
        <v>10</v>
      </c>
      <c r="AK15" s="75" t="n">
        <f aca="false">AJ15/10</f>
        <v>1</v>
      </c>
      <c r="AL15" s="76"/>
      <c r="AM15" s="77" t="n">
        <f aca="false">SUM(AF15,AH15,AJ15)</f>
        <v>18</v>
      </c>
      <c r="AN15" s="75" t="n">
        <f aca="false">AM15/26</f>
        <v>0.692307692307692</v>
      </c>
      <c r="AO15" s="78"/>
      <c r="AP15" s="71" t="n">
        <f aca="false">AF15</f>
        <v>7</v>
      </c>
      <c r="AQ15" s="70" t="n">
        <f aca="false">AP15/$AP$3</f>
        <v>0.875</v>
      </c>
      <c r="AR15" s="73" t="str">
        <f aca="false">IF((AP15/AP$3)&gt;0.899999999999999,"ME",IF((AP15/AP$3)&gt;0.749999999999999,"MP",IF((AP15/AP$3)&gt;0.599999999999999,"DP","WB")))</f>
        <v>MP</v>
      </c>
      <c r="AS15" s="73" t="n">
        <f aca="false">Y15+AH15</f>
        <v>7</v>
      </c>
      <c r="AT15" s="70" t="n">
        <f aca="false">AS15/$AS$3</f>
        <v>0.4375</v>
      </c>
      <c r="AU15" s="79" t="str">
        <f aca="false">IF((AS15/AS$3)&gt;0.899999999999999,"ME",IF((AS15/AS$3)&gt;0.749999999999999,"MP",IF((AS15/AS$3)&gt;0.599999999999999,"DP","WB")))</f>
        <v>WB</v>
      </c>
      <c r="AV15" s="79" t="n">
        <f aca="false">AJ15+AA15</f>
        <v>26</v>
      </c>
      <c r="AW15" s="70" t="n">
        <f aca="false">AV15/$AV$3</f>
        <v>0.928571428571429</v>
      </c>
      <c r="AX15" s="79" t="str">
        <f aca="false">IF((AV15/AV$3)&gt;0.899999999999999,"ME",IF((AV15/AV$3)&gt;0.749999999999999,"MP",IF((AV15/AV$3)&gt;0.599999999999999,"DP","WB")))</f>
        <v>ME</v>
      </c>
      <c r="AY15" s="73"/>
    </row>
    <row r="16" customFormat="false" ht="14.9" hidden="false" customHeight="false" outlineLevel="0" collapsed="false">
      <c r="A16" s="60" t="n">
        <v>13</v>
      </c>
      <c r="B16" s="61" t="s">
        <v>100</v>
      </c>
      <c r="C16" s="62" t="n">
        <v>88</v>
      </c>
      <c r="D16" s="82"/>
      <c r="E16" s="81" t="n">
        <v>4</v>
      </c>
      <c r="F16" s="65" t="n">
        <v>22</v>
      </c>
      <c r="G16" s="65" t="n">
        <v>4</v>
      </c>
      <c r="H16" s="65"/>
      <c r="I16" s="66" t="n">
        <v>18</v>
      </c>
      <c r="J16" s="65" t="n">
        <v>11</v>
      </c>
      <c r="K16" s="65" t="n">
        <v>18</v>
      </c>
      <c r="L16" s="65" t="n">
        <v>0</v>
      </c>
      <c r="M16" s="66" t="n">
        <v>19</v>
      </c>
      <c r="N16" s="66" t="n">
        <v>6</v>
      </c>
      <c r="O16" s="66" t="n">
        <v>1</v>
      </c>
      <c r="P16" s="67" t="n">
        <v>48</v>
      </c>
      <c r="Q16" s="67" t="s">
        <v>102</v>
      </c>
      <c r="R16" s="67" t="n">
        <v>24</v>
      </c>
      <c r="S16" s="67" t="s">
        <v>104</v>
      </c>
      <c r="T16" s="67" t="n">
        <v>0</v>
      </c>
      <c r="U16" s="67" t="s">
        <v>101</v>
      </c>
      <c r="V16" s="67" t="n">
        <v>1</v>
      </c>
      <c r="W16" s="67" t="s">
        <v>101</v>
      </c>
      <c r="X16" s="68" t="s">
        <v>102</v>
      </c>
      <c r="Y16" s="69" t="n">
        <v>5</v>
      </c>
      <c r="Z16" s="70" t="n">
        <f aca="false">Y16/9</f>
        <v>0.555555555555556</v>
      </c>
      <c r="AA16" s="71" t="n">
        <v>18</v>
      </c>
      <c r="AB16" s="70" t="n">
        <f aca="false">AA16/18</f>
        <v>1</v>
      </c>
      <c r="AC16" s="72"/>
      <c r="AD16" s="73" t="n">
        <f aca="false">SUM(Y16,AA16)</f>
        <v>23</v>
      </c>
      <c r="AE16" s="70" t="n">
        <f aca="false">AD16/27</f>
        <v>0.851851851851852</v>
      </c>
      <c r="AF16" s="74" t="n">
        <v>7</v>
      </c>
      <c r="AG16" s="75" t="n">
        <f aca="false">AF16/8</f>
        <v>0.875</v>
      </c>
      <c r="AH16" s="74" t="n">
        <v>4</v>
      </c>
      <c r="AI16" s="75" t="n">
        <f aca="false">AH16/8</f>
        <v>0.5</v>
      </c>
      <c r="AJ16" s="74" t="n">
        <v>5</v>
      </c>
      <c r="AK16" s="75" t="n">
        <f aca="false">AJ16/10</f>
        <v>0.5</v>
      </c>
      <c r="AL16" s="76"/>
      <c r="AM16" s="77" t="n">
        <f aca="false">SUM(AF16,AH16,AJ16)</f>
        <v>16</v>
      </c>
      <c r="AN16" s="75" t="n">
        <f aca="false">AM16/26</f>
        <v>0.615384615384615</v>
      </c>
      <c r="AO16" s="78"/>
      <c r="AP16" s="71" t="n">
        <f aca="false">AF16</f>
        <v>7</v>
      </c>
      <c r="AQ16" s="70" t="n">
        <f aca="false">AP16/$AP$3</f>
        <v>0.875</v>
      </c>
      <c r="AR16" s="73" t="str">
        <f aca="false">IF((AP16/AP$3)&gt;0.899999999999999,"ME",IF((AP16/AP$3)&gt;0.749999999999999,"MP",IF((AP16/AP$3)&gt;0.599999999999999,"DP","WB")))</f>
        <v>MP</v>
      </c>
      <c r="AS16" s="73" t="n">
        <f aca="false">Y16+AH16</f>
        <v>9</v>
      </c>
      <c r="AT16" s="70" t="n">
        <f aca="false">AS16/$AS$3</f>
        <v>0.5625</v>
      </c>
      <c r="AU16" s="79" t="str">
        <f aca="false">IF((AS16/AS$3)&gt;0.899999999999999,"ME",IF((AS16/AS$3)&gt;0.749999999999999,"MP",IF((AS16/AS$3)&gt;0.599999999999999,"DP","WB")))</f>
        <v>WB</v>
      </c>
      <c r="AV16" s="79" t="n">
        <f aca="false">AJ16+AA16</f>
        <v>23</v>
      </c>
      <c r="AW16" s="70" t="n">
        <f aca="false">AV16/$AV$3</f>
        <v>0.821428571428571</v>
      </c>
      <c r="AX16" s="79" t="str">
        <f aca="false">IF((AV16/AV$3)&gt;0.899999999999999,"ME",IF((AV16/AV$3)&gt;0.749999999999999,"MP",IF((AV16/AV$3)&gt;0.599999999999999,"DP","WB")))</f>
        <v>MP</v>
      </c>
      <c r="AY16" s="73"/>
    </row>
    <row r="17" customFormat="false" ht="14.9" hidden="false" customHeight="false" outlineLevel="0" collapsed="false">
      <c r="A17" s="60" t="n">
        <v>14</v>
      </c>
      <c r="B17" s="61" t="s">
        <v>100</v>
      </c>
      <c r="C17" s="62" t="n">
        <v>100</v>
      </c>
      <c r="D17" s="80"/>
      <c r="E17" s="81" t="n">
        <v>6</v>
      </c>
      <c r="F17" s="65" t="n">
        <v>32</v>
      </c>
      <c r="G17" s="65" t="n">
        <v>7</v>
      </c>
      <c r="H17" s="65" t="n">
        <v>3</v>
      </c>
      <c r="I17" s="66" t="n">
        <v>18</v>
      </c>
      <c r="J17" s="65" t="n">
        <v>19</v>
      </c>
      <c r="K17" s="65" t="n">
        <v>27</v>
      </c>
      <c r="L17" s="65" t="n">
        <v>0</v>
      </c>
      <c r="M17" s="66" t="n">
        <v>18</v>
      </c>
      <c r="N17" s="66" t="n">
        <v>6</v>
      </c>
      <c r="O17" s="66" t="n">
        <v>3</v>
      </c>
      <c r="P17" s="67" t="n">
        <v>55</v>
      </c>
      <c r="Q17" s="67" t="s">
        <v>102</v>
      </c>
      <c r="R17" s="67" t="n">
        <v>33</v>
      </c>
      <c r="S17" s="67" t="s">
        <v>103</v>
      </c>
      <c r="T17" s="67" t="n">
        <v>0</v>
      </c>
      <c r="U17" s="67" t="s">
        <v>101</v>
      </c>
      <c r="V17" s="67" t="n">
        <v>3</v>
      </c>
      <c r="W17" s="67" t="s">
        <v>102</v>
      </c>
      <c r="X17" s="68" t="s">
        <v>102</v>
      </c>
      <c r="Y17" s="69" t="n">
        <v>6</v>
      </c>
      <c r="Z17" s="70" t="n">
        <f aca="false">Y17/9</f>
        <v>0.666666666666667</v>
      </c>
      <c r="AA17" s="71" t="n">
        <v>18</v>
      </c>
      <c r="AB17" s="70" t="n">
        <f aca="false">AA17/18</f>
        <v>1</v>
      </c>
      <c r="AC17" s="72"/>
      <c r="AD17" s="73" t="n">
        <f aca="false">SUM(Y17,AA17)</f>
        <v>24</v>
      </c>
      <c r="AE17" s="70" t="n">
        <f aca="false">AD17/27</f>
        <v>0.888888888888889</v>
      </c>
      <c r="AF17" s="74" t="n">
        <v>8</v>
      </c>
      <c r="AG17" s="75" t="n">
        <f aca="false">AF17/8</f>
        <v>1</v>
      </c>
      <c r="AH17" s="74" t="n">
        <v>4</v>
      </c>
      <c r="AI17" s="75" t="n">
        <f aca="false">AH17/8</f>
        <v>0.5</v>
      </c>
      <c r="AJ17" s="74" t="n">
        <v>10</v>
      </c>
      <c r="AK17" s="75" t="n">
        <f aca="false">AJ17/10</f>
        <v>1</v>
      </c>
      <c r="AL17" s="76"/>
      <c r="AM17" s="77" t="n">
        <f aca="false">SUM(AF17,AH17,AJ17)</f>
        <v>22</v>
      </c>
      <c r="AN17" s="75" t="n">
        <f aca="false">AM17/26</f>
        <v>0.846153846153846</v>
      </c>
      <c r="AO17" s="78"/>
      <c r="AP17" s="71" t="n">
        <f aca="false">AF17</f>
        <v>8</v>
      </c>
      <c r="AQ17" s="70" t="n">
        <f aca="false">AP17/$AP$3</f>
        <v>1</v>
      </c>
      <c r="AR17" s="73" t="str">
        <f aca="false">IF((AP17/AP$3)&gt;0.899999999999999,"ME",IF((AP17/AP$3)&gt;0.749999999999999,"MP",IF((AP17/AP$3)&gt;0.599999999999999,"DP","WB")))</f>
        <v>ME</v>
      </c>
      <c r="AS17" s="73" t="n">
        <f aca="false">Y17+AH17</f>
        <v>10</v>
      </c>
      <c r="AT17" s="70" t="n">
        <f aca="false">AS17/$AS$3</f>
        <v>0.625</v>
      </c>
      <c r="AU17" s="79" t="str">
        <f aca="false">IF((AS17/AS$3)&gt;0.899999999999999,"ME",IF((AS17/AS$3)&gt;0.749999999999999,"MP",IF((AS17/AS$3)&gt;0.599999999999999,"DP","WB")))</f>
        <v>DP</v>
      </c>
      <c r="AV17" s="79" t="n">
        <f aca="false">AJ17+AA17</f>
        <v>28</v>
      </c>
      <c r="AW17" s="70" t="n">
        <f aca="false">AV17/$AV$3</f>
        <v>1</v>
      </c>
      <c r="AX17" s="79" t="str">
        <f aca="false">IF((AV17/AV$3)&gt;0.899999999999999,"ME",IF((AV17/AV$3)&gt;0.749999999999999,"MP",IF((AV17/AV$3)&gt;0.599999999999999,"DP","WB")))</f>
        <v>ME</v>
      </c>
      <c r="AY17" s="73"/>
    </row>
    <row r="18" customFormat="false" ht="14.9" hidden="false" customHeight="false" outlineLevel="0" collapsed="false">
      <c r="A18" s="60" t="n">
        <v>15</v>
      </c>
      <c r="B18" s="61" t="s">
        <v>100</v>
      </c>
      <c r="C18" s="62" t="n">
        <v>100</v>
      </c>
      <c r="D18" s="80"/>
      <c r="E18" s="81" t="n">
        <v>5</v>
      </c>
      <c r="F18" s="65" t="n">
        <v>25</v>
      </c>
      <c r="G18" s="65" t="n">
        <v>4</v>
      </c>
      <c r="H18" s="65" t="n">
        <v>1</v>
      </c>
      <c r="I18" s="66" t="n">
        <v>17</v>
      </c>
      <c r="J18" s="65" t="n">
        <v>21</v>
      </c>
      <c r="K18" s="65" t="n">
        <v>19</v>
      </c>
      <c r="L18" s="65" t="n">
        <v>0</v>
      </c>
      <c r="M18" s="66" t="n">
        <v>14</v>
      </c>
      <c r="N18" s="66" t="n">
        <v>4</v>
      </c>
      <c r="O18" s="66" t="n">
        <v>1</v>
      </c>
      <c r="P18" s="67" t="n">
        <v>52</v>
      </c>
      <c r="Q18" s="67" t="s">
        <v>102</v>
      </c>
      <c r="R18" s="67" t="n">
        <v>23</v>
      </c>
      <c r="S18" s="67" t="s">
        <v>104</v>
      </c>
      <c r="T18" s="67" t="n">
        <v>0</v>
      </c>
      <c r="U18" s="67" t="s">
        <v>101</v>
      </c>
      <c r="V18" s="67" t="n">
        <v>1</v>
      </c>
      <c r="W18" s="67" t="s">
        <v>101</v>
      </c>
      <c r="X18" s="68" t="s">
        <v>102</v>
      </c>
      <c r="Y18" s="69" t="n">
        <v>4</v>
      </c>
      <c r="Z18" s="70" t="n">
        <f aca="false">Y18/9</f>
        <v>0.444444444444444</v>
      </c>
      <c r="AA18" s="71" t="n">
        <v>13</v>
      </c>
      <c r="AB18" s="70" t="n">
        <f aca="false">AA18/18</f>
        <v>0.722222222222222</v>
      </c>
      <c r="AC18" s="72"/>
      <c r="AD18" s="73" t="n">
        <f aca="false">SUM(Y18,AA18)</f>
        <v>17</v>
      </c>
      <c r="AE18" s="70" t="n">
        <f aca="false">AD18/27</f>
        <v>0.62962962962963</v>
      </c>
      <c r="AF18" s="74" t="n">
        <v>8</v>
      </c>
      <c r="AG18" s="75" t="n">
        <f aca="false">AF18/8</f>
        <v>1</v>
      </c>
      <c r="AH18" s="74" t="n">
        <v>8</v>
      </c>
      <c r="AI18" s="75" t="n">
        <f aca="false">AH18/8</f>
        <v>1</v>
      </c>
      <c r="AJ18" s="74" t="n">
        <v>7</v>
      </c>
      <c r="AK18" s="75" t="n">
        <f aca="false">AJ18/10</f>
        <v>0.7</v>
      </c>
      <c r="AL18" s="76"/>
      <c r="AM18" s="77" t="n">
        <f aca="false">SUM(AF18,AH18,AJ18)</f>
        <v>23</v>
      </c>
      <c r="AN18" s="75" t="n">
        <f aca="false">AM18/26</f>
        <v>0.884615384615385</v>
      </c>
      <c r="AO18" s="78"/>
      <c r="AP18" s="71" t="n">
        <f aca="false">AF18</f>
        <v>8</v>
      </c>
      <c r="AQ18" s="70" t="n">
        <f aca="false">AP18/$AP$3</f>
        <v>1</v>
      </c>
      <c r="AR18" s="73" t="str">
        <f aca="false">IF((AP18/AP$3)&gt;0.899999999999999,"ME",IF((AP18/AP$3)&gt;0.749999999999999,"MP",IF((AP18/AP$3)&gt;0.599999999999999,"DP","WB")))</f>
        <v>ME</v>
      </c>
      <c r="AS18" s="73" t="n">
        <f aca="false">Y18+AH18</f>
        <v>12</v>
      </c>
      <c r="AT18" s="70" t="n">
        <f aca="false">AS18/$AS$3</f>
        <v>0.75</v>
      </c>
      <c r="AU18" s="79" t="str">
        <f aca="false">IF((AS18/AS$3)&gt;0.899999999999999,"ME",IF((AS18/AS$3)&gt;0.749999999999999,"MP",IF((AS18/AS$3)&gt;0.599999999999999,"DP","WB")))</f>
        <v>DP</v>
      </c>
      <c r="AV18" s="79" t="n">
        <f aca="false">AJ18+AA18</f>
        <v>20</v>
      </c>
      <c r="AW18" s="70" t="n">
        <f aca="false">AV18/$AV$3</f>
        <v>0.714285714285714</v>
      </c>
      <c r="AX18" s="79" t="str">
        <f aca="false">IF((AV18/AV$3)&gt;0.899999999999999,"ME",IF((AV18/AV$3)&gt;0.749999999999999,"MP",IF((AV18/AV$3)&gt;0.599999999999999,"DP","WB")))</f>
        <v>DP</v>
      </c>
      <c r="AY18" s="73"/>
    </row>
    <row r="19" customFormat="false" ht="14.9" hidden="false" customHeight="false" outlineLevel="0" collapsed="false">
      <c r="A19" s="60" t="n">
        <v>16</v>
      </c>
      <c r="B19" s="61" t="s">
        <v>100</v>
      </c>
      <c r="C19" s="62" t="n">
        <v>94</v>
      </c>
      <c r="D19" s="80"/>
      <c r="E19" s="81" t="n">
        <v>6</v>
      </c>
      <c r="F19" s="65" t="n">
        <v>28</v>
      </c>
      <c r="G19" s="65" t="n">
        <v>7</v>
      </c>
      <c r="H19" s="65"/>
      <c r="I19" s="66" t="n">
        <v>19</v>
      </c>
      <c r="J19" s="65" t="n">
        <v>11</v>
      </c>
      <c r="K19" s="65" t="n">
        <v>27</v>
      </c>
      <c r="L19" s="65" t="n">
        <v>1</v>
      </c>
      <c r="M19" s="66" t="n">
        <v>19</v>
      </c>
      <c r="N19" s="66" t="n">
        <v>6</v>
      </c>
      <c r="O19" s="66" t="n">
        <v>2</v>
      </c>
      <c r="P19" s="67" t="n">
        <v>49</v>
      </c>
      <c r="Q19" s="67" t="s">
        <v>102</v>
      </c>
      <c r="R19" s="67" t="n">
        <v>33</v>
      </c>
      <c r="S19" s="67" t="s">
        <v>103</v>
      </c>
      <c r="T19" s="67" t="n">
        <v>1</v>
      </c>
      <c r="U19" s="67" t="s">
        <v>103</v>
      </c>
      <c r="V19" s="67" t="n">
        <v>2</v>
      </c>
      <c r="W19" s="67" t="s">
        <v>101</v>
      </c>
      <c r="X19" s="68" t="s">
        <v>102</v>
      </c>
      <c r="Y19" s="69" t="n">
        <v>6</v>
      </c>
      <c r="Z19" s="70" t="n">
        <f aca="false">Y19/9</f>
        <v>0.666666666666667</v>
      </c>
      <c r="AA19" s="71" t="n">
        <v>17</v>
      </c>
      <c r="AB19" s="70" t="n">
        <f aca="false">AA19/18</f>
        <v>0.944444444444444</v>
      </c>
      <c r="AC19" s="72"/>
      <c r="AD19" s="73" t="n">
        <f aca="false">SUM(Y19,AA19)</f>
        <v>23</v>
      </c>
      <c r="AE19" s="70" t="n">
        <f aca="false">AD19/27</f>
        <v>0.851851851851852</v>
      </c>
      <c r="AF19" s="74" t="n">
        <v>8</v>
      </c>
      <c r="AG19" s="75" t="n">
        <f aca="false">AF19/8</f>
        <v>1</v>
      </c>
      <c r="AH19" s="74" t="n">
        <v>8</v>
      </c>
      <c r="AI19" s="75" t="n">
        <f aca="false">AH19/8</f>
        <v>1</v>
      </c>
      <c r="AJ19" s="74" t="n">
        <v>7</v>
      </c>
      <c r="AK19" s="75" t="n">
        <f aca="false">AJ19/10</f>
        <v>0.7</v>
      </c>
      <c r="AL19" s="76"/>
      <c r="AM19" s="77" t="n">
        <f aca="false">SUM(AF19,AH19,AJ19)</f>
        <v>23</v>
      </c>
      <c r="AN19" s="75" t="n">
        <f aca="false">AM19/26</f>
        <v>0.884615384615385</v>
      </c>
      <c r="AO19" s="78"/>
      <c r="AP19" s="71" t="n">
        <f aca="false">AF19</f>
        <v>8</v>
      </c>
      <c r="AQ19" s="70" t="n">
        <f aca="false">AP19/$AP$3</f>
        <v>1</v>
      </c>
      <c r="AR19" s="73" t="str">
        <f aca="false">IF((AP19/AP$3)&gt;0.899999999999999,"ME",IF((AP19/AP$3)&gt;0.749999999999999,"MP",IF((AP19/AP$3)&gt;0.599999999999999,"DP","WB")))</f>
        <v>ME</v>
      </c>
      <c r="AS19" s="73" t="n">
        <f aca="false">Y19+AH19</f>
        <v>14</v>
      </c>
      <c r="AT19" s="70" t="n">
        <f aca="false">AS19/$AS$3</f>
        <v>0.875</v>
      </c>
      <c r="AU19" s="79" t="str">
        <f aca="false">IF((AS19/AS$3)&gt;0.899999999999999,"ME",IF((AS19/AS$3)&gt;0.749999999999999,"MP",IF((AS19/AS$3)&gt;0.599999999999999,"DP","WB")))</f>
        <v>MP</v>
      </c>
      <c r="AV19" s="79" t="n">
        <f aca="false">AJ19+AA19</f>
        <v>24</v>
      </c>
      <c r="AW19" s="70" t="n">
        <f aca="false">AV19/$AV$3</f>
        <v>0.857142857142857</v>
      </c>
      <c r="AX19" s="79" t="str">
        <f aca="false">IF((AV19/AV$3)&gt;0.899999999999999,"ME",IF((AV19/AV$3)&gt;0.749999999999999,"MP",IF((AV19/AV$3)&gt;0.599999999999999,"DP","WB")))</f>
        <v>MP</v>
      </c>
      <c r="AY19" s="73"/>
    </row>
    <row r="20" customFormat="false" ht="14.9" hidden="false" customHeight="false" outlineLevel="0" collapsed="false">
      <c r="A20" s="60" t="n">
        <v>17</v>
      </c>
      <c r="B20" s="61" t="s">
        <v>100</v>
      </c>
      <c r="C20" s="62" t="n">
        <v>94</v>
      </c>
      <c r="D20" s="80"/>
      <c r="E20" s="81" t="n">
        <v>6</v>
      </c>
      <c r="F20" s="65" t="n">
        <v>23</v>
      </c>
      <c r="G20" s="65" t="n">
        <v>2</v>
      </c>
      <c r="H20" s="65" t="n">
        <v>3</v>
      </c>
      <c r="I20" s="66" t="n">
        <v>19</v>
      </c>
      <c r="J20" s="65" t="n">
        <v>20</v>
      </c>
      <c r="K20" s="65" t="n">
        <v>9</v>
      </c>
      <c r="L20" s="65" t="n">
        <v>1</v>
      </c>
      <c r="M20" s="66" t="n">
        <v>17</v>
      </c>
      <c r="N20" s="66" t="n">
        <v>6</v>
      </c>
      <c r="O20" s="66" t="n">
        <v>2</v>
      </c>
      <c r="P20" s="67" t="n">
        <v>56</v>
      </c>
      <c r="Q20" s="67" t="s">
        <v>103</v>
      </c>
      <c r="R20" s="67" t="n">
        <v>15</v>
      </c>
      <c r="S20" s="67" t="s">
        <v>101</v>
      </c>
      <c r="T20" s="67" t="n">
        <v>1</v>
      </c>
      <c r="U20" s="67" t="s">
        <v>103</v>
      </c>
      <c r="V20" s="67" t="n">
        <v>2</v>
      </c>
      <c r="W20" s="67" t="s">
        <v>101</v>
      </c>
      <c r="X20" s="68" t="s">
        <v>102</v>
      </c>
      <c r="Y20" s="69" t="n">
        <v>8</v>
      </c>
      <c r="Z20" s="70" t="n">
        <f aca="false">Y20/9</f>
        <v>0.888888888888889</v>
      </c>
      <c r="AA20" s="71" t="n">
        <v>13</v>
      </c>
      <c r="AB20" s="70" t="n">
        <f aca="false">AA20/18</f>
        <v>0.722222222222222</v>
      </c>
      <c r="AC20" s="72"/>
      <c r="AD20" s="73" t="n">
        <f aca="false">SUM(Y20,AA20)</f>
        <v>21</v>
      </c>
      <c r="AE20" s="70" t="n">
        <f aca="false">AD20/27</f>
        <v>0.777777777777778</v>
      </c>
      <c r="AF20" s="74" t="n">
        <v>8</v>
      </c>
      <c r="AG20" s="75" t="n">
        <f aca="false">AF20/8</f>
        <v>1</v>
      </c>
      <c r="AH20" s="74" t="n">
        <v>7</v>
      </c>
      <c r="AI20" s="75" t="n">
        <f aca="false">AH20/8</f>
        <v>0.875</v>
      </c>
      <c r="AJ20" s="74" t="n">
        <v>9</v>
      </c>
      <c r="AK20" s="75" t="n">
        <f aca="false">AJ20/10</f>
        <v>0.9</v>
      </c>
      <c r="AL20" s="76"/>
      <c r="AM20" s="77" t="n">
        <f aca="false">SUM(AF20,AH20,AJ20)</f>
        <v>24</v>
      </c>
      <c r="AN20" s="75" t="n">
        <f aca="false">AM20/26</f>
        <v>0.923076923076923</v>
      </c>
      <c r="AO20" s="78"/>
      <c r="AP20" s="71" t="n">
        <f aca="false">AF20</f>
        <v>8</v>
      </c>
      <c r="AQ20" s="70" t="n">
        <f aca="false">AP20/$AP$3</f>
        <v>1</v>
      </c>
      <c r="AR20" s="73" t="str">
        <f aca="false">IF((AP20/AP$3)&gt;0.899999999999999,"ME",IF((AP20/AP$3)&gt;0.749999999999999,"MP",IF((AP20/AP$3)&gt;0.599999999999999,"DP","WB")))</f>
        <v>ME</v>
      </c>
      <c r="AS20" s="73" t="n">
        <f aca="false">Y20+AH20</f>
        <v>15</v>
      </c>
      <c r="AT20" s="70" t="n">
        <f aca="false">AS20/$AS$3</f>
        <v>0.9375</v>
      </c>
      <c r="AU20" s="79" t="str">
        <f aca="false">IF((AS20/AS$3)&gt;0.899999999999999,"ME",IF((AS20/AS$3)&gt;0.749999999999999,"MP",IF((AS20/AS$3)&gt;0.599999999999999,"DP","WB")))</f>
        <v>ME</v>
      </c>
      <c r="AV20" s="79" t="n">
        <f aca="false">AJ20+AA20</f>
        <v>22</v>
      </c>
      <c r="AW20" s="70" t="n">
        <f aca="false">AV20/$AV$3</f>
        <v>0.785714285714286</v>
      </c>
      <c r="AX20" s="79" t="str">
        <f aca="false">IF((AV20/AV$3)&gt;0.899999999999999,"ME",IF((AV20/AV$3)&gt;0.749999999999999,"MP",IF((AV20/AV$3)&gt;0.599999999999999,"DP","WB")))</f>
        <v>MP</v>
      </c>
      <c r="AY20" s="73"/>
    </row>
    <row r="21" customFormat="false" ht="13.8" hidden="false" customHeight="false" outlineLevel="0" collapsed="false">
      <c r="A21" s="60" t="n">
        <v>18</v>
      </c>
      <c r="B21" s="61" t="s">
        <v>100</v>
      </c>
      <c r="C21" s="62"/>
      <c r="D21" s="80"/>
      <c r="E21" s="81" t="n">
        <v>6</v>
      </c>
      <c r="F21" s="65" t="n">
        <v>29</v>
      </c>
      <c r="G21" s="65" t="n">
        <v>8</v>
      </c>
      <c r="H21" s="65" t="n">
        <v>3</v>
      </c>
      <c r="I21" s="66" t="n">
        <v>20</v>
      </c>
      <c r="J21" s="65" t="n">
        <v>9</v>
      </c>
      <c r="K21" s="65" t="n">
        <v>7</v>
      </c>
      <c r="L21" s="65" t="n">
        <v>0</v>
      </c>
      <c r="M21" s="66" t="n">
        <v>19</v>
      </c>
      <c r="N21" s="66" t="n">
        <v>6</v>
      </c>
      <c r="O21" s="66" t="n">
        <v>1</v>
      </c>
      <c r="P21" s="67" t="n">
        <v>48</v>
      </c>
      <c r="Q21" s="67" t="s">
        <v>102</v>
      </c>
      <c r="R21" s="67" t="n">
        <v>13</v>
      </c>
      <c r="S21" s="67" t="s">
        <v>101</v>
      </c>
      <c r="T21" s="67" t="n">
        <v>0</v>
      </c>
      <c r="U21" s="67" t="s">
        <v>101</v>
      </c>
      <c r="V21" s="67" t="n">
        <v>1</v>
      </c>
      <c r="W21" s="67" t="s">
        <v>101</v>
      </c>
      <c r="X21" s="68" t="s">
        <v>104</v>
      </c>
      <c r="Y21" s="69" t="n">
        <v>2</v>
      </c>
      <c r="Z21" s="70" t="n">
        <f aca="false">Y21/9</f>
        <v>0.222222222222222</v>
      </c>
      <c r="AA21" s="71" t="n">
        <v>7</v>
      </c>
      <c r="AB21" s="70" t="n">
        <f aca="false">AA21/18</f>
        <v>0.388888888888889</v>
      </c>
      <c r="AC21" s="72"/>
      <c r="AD21" s="73" t="n">
        <f aca="false">SUM(Y21,AA21)</f>
        <v>9</v>
      </c>
      <c r="AE21" s="70" t="n">
        <f aca="false">AD21/27</f>
        <v>0.333333333333333</v>
      </c>
      <c r="AF21" s="74" t="n">
        <v>7</v>
      </c>
      <c r="AG21" s="75" t="n">
        <f aca="false">AF21/8</f>
        <v>0.875</v>
      </c>
      <c r="AH21" s="74" t="n">
        <v>2</v>
      </c>
      <c r="AI21" s="75" t="n">
        <f aca="false">AH21/8</f>
        <v>0.25</v>
      </c>
      <c r="AJ21" s="74" t="n">
        <v>3</v>
      </c>
      <c r="AK21" s="75" t="n">
        <f aca="false">AJ21/10</f>
        <v>0.3</v>
      </c>
      <c r="AL21" s="76"/>
      <c r="AM21" s="77" t="n">
        <f aca="false">SUM(AF21,AH21,AJ21)</f>
        <v>12</v>
      </c>
      <c r="AN21" s="75" t="n">
        <f aca="false">AM21/26</f>
        <v>0.461538461538462</v>
      </c>
      <c r="AO21" s="78"/>
      <c r="AP21" s="71" t="n">
        <f aca="false">AF21</f>
        <v>7</v>
      </c>
      <c r="AQ21" s="70" t="n">
        <f aca="false">AP21/$AP$3</f>
        <v>0.875</v>
      </c>
      <c r="AR21" s="73" t="str">
        <f aca="false">IF((AP21/AP$3)&gt;0.899999999999999,"ME",IF((AP21/AP$3)&gt;0.749999999999999,"MP",IF((AP21/AP$3)&gt;0.599999999999999,"DP","WB")))</f>
        <v>MP</v>
      </c>
      <c r="AS21" s="73" t="n">
        <f aca="false">Y21+AH21</f>
        <v>4</v>
      </c>
      <c r="AT21" s="70" t="n">
        <f aca="false">AS21/$AS$3</f>
        <v>0.25</v>
      </c>
      <c r="AU21" s="79" t="str">
        <f aca="false">IF((AS21/AS$3)&gt;0.899999999999999,"ME",IF((AS21/AS$3)&gt;0.749999999999999,"MP",IF((AS21/AS$3)&gt;0.599999999999999,"DP","WB")))</f>
        <v>WB</v>
      </c>
      <c r="AV21" s="79" t="n">
        <f aca="false">AJ21+AA21</f>
        <v>10</v>
      </c>
      <c r="AW21" s="70" t="n">
        <f aca="false">AV21/$AV$3</f>
        <v>0.357142857142857</v>
      </c>
      <c r="AX21" s="79" t="str">
        <f aca="false">IF((AV21/AV$3)&gt;0.899999999999999,"ME",IF((AV21/AV$3)&gt;0.749999999999999,"MP",IF((AV21/AV$3)&gt;0.599999999999999,"DP","WB")))</f>
        <v>WB</v>
      </c>
      <c r="AY21" s="73"/>
    </row>
    <row r="22" customFormat="false" ht="14.9" hidden="false" customHeight="false" outlineLevel="0" collapsed="false">
      <c r="A22" s="60" t="n">
        <v>19</v>
      </c>
      <c r="B22" s="61" t="s">
        <v>100</v>
      </c>
      <c r="C22" s="62" t="n">
        <v>94</v>
      </c>
      <c r="D22" s="80"/>
      <c r="E22" s="81"/>
      <c r="F22" s="65"/>
      <c r="G22" s="65"/>
      <c r="H22" s="65" t="n">
        <v>1</v>
      </c>
      <c r="I22" s="66" t="n">
        <v>13</v>
      </c>
      <c r="J22" s="65" t="n">
        <v>14</v>
      </c>
      <c r="K22" s="65" t="n">
        <v>9</v>
      </c>
      <c r="L22" s="65" t="n">
        <v>1</v>
      </c>
      <c r="M22" s="66" t="n">
        <v>17</v>
      </c>
      <c r="N22" s="66" t="n">
        <v>6</v>
      </c>
      <c r="O22" s="66" t="n">
        <v>1</v>
      </c>
      <c r="P22" s="67" t="n">
        <v>44</v>
      </c>
      <c r="Q22" s="67" t="s">
        <v>104</v>
      </c>
      <c r="R22" s="67" t="n">
        <v>15</v>
      </c>
      <c r="S22" s="67" t="s">
        <v>101</v>
      </c>
      <c r="T22" s="67" t="n">
        <v>1</v>
      </c>
      <c r="U22" s="67" t="s">
        <v>103</v>
      </c>
      <c r="V22" s="67" t="n">
        <v>1</v>
      </c>
      <c r="W22" s="67" t="s">
        <v>101</v>
      </c>
      <c r="X22" s="68" t="s">
        <v>104</v>
      </c>
      <c r="Y22" s="69" t="n">
        <v>7</v>
      </c>
      <c r="Z22" s="70" t="n">
        <f aca="false">Y22/9</f>
        <v>0.777777777777778</v>
      </c>
      <c r="AA22" s="71" t="n">
        <v>15</v>
      </c>
      <c r="AB22" s="70" t="n">
        <f aca="false">AA22/18</f>
        <v>0.833333333333333</v>
      </c>
      <c r="AC22" s="72"/>
      <c r="AD22" s="73" t="n">
        <f aca="false">SUM(Y22,AA22)</f>
        <v>22</v>
      </c>
      <c r="AE22" s="70" t="n">
        <f aca="false">AD22/27</f>
        <v>0.814814814814815</v>
      </c>
      <c r="AF22" s="74" t="n">
        <v>8</v>
      </c>
      <c r="AG22" s="75" t="n">
        <f aca="false">AF22/8</f>
        <v>1</v>
      </c>
      <c r="AH22" s="74" t="n">
        <v>8</v>
      </c>
      <c r="AI22" s="75" t="n">
        <f aca="false">AH22/8</f>
        <v>1</v>
      </c>
      <c r="AJ22" s="74" t="n">
        <v>10</v>
      </c>
      <c r="AK22" s="75" t="n">
        <f aca="false">AJ22/10</f>
        <v>1</v>
      </c>
      <c r="AL22" s="76"/>
      <c r="AM22" s="77" t="n">
        <f aca="false">SUM(AF22,AH22,AJ22)</f>
        <v>26</v>
      </c>
      <c r="AN22" s="75" t="n">
        <f aca="false">AM22/26</f>
        <v>1</v>
      </c>
      <c r="AO22" s="78"/>
      <c r="AP22" s="71" t="n">
        <f aca="false">AF22</f>
        <v>8</v>
      </c>
      <c r="AQ22" s="70" t="n">
        <f aca="false">AP22/$AP$3</f>
        <v>1</v>
      </c>
      <c r="AR22" s="73" t="str">
        <f aca="false">IF((AP22/AP$3)&gt;0.899999999999999,"ME",IF((AP22/AP$3)&gt;0.749999999999999,"MP",IF((AP22/AP$3)&gt;0.599999999999999,"DP","WB")))</f>
        <v>ME</v>
      </c>
      <c r="AS22" s="73" t="n">
        <f aca="false">Y22+AH22</f>
        <v>15</v>
      </c>
      <c r="AT22" s="70" t="n">
        <f aca="false">AS22/$AS$3</f>
        <v>0.9375</v>
      </c>
      <c r="AU22" s="79" t="str">
        <f aca="false">IF((AS22/AS$3)&gt;0.899999999999999,"ME",IF((AS22/AS$3)&gt;0.749999999999999,"MP",IF((AS22/AS$3)&gt;0.599999999999999,"DP","WB")))</f>
        <v>ME</v>
      </c>
      <c r="AV22" s="79" t="n">
        <f aca="false">AJ22+AA22</f>
        <v>25</v>
      </c>
      <c r="AW22" s="70" t="n">
        <f aca="false">AV22/$AV$3</f>
        <v>0.892857142857143</v>
      </c>
      <c r="AX22" s="79" t="str">
        <f aca="false">IF((AV22/AV$3)&gt;0.899999999999999,"ME",IF((AV22/AV$3)&gt;0.749999999999999,"MP",IF((AV22/AV$3)&gt;0.599999999999999,"DP","WB")))</f>
        <v>MP</v>
      </c>
      <c r="AY22" s="73"/>
    </row>
    <row r="23" customFormat="false" ht="14.9" hidden="false" customHeight="false" outlineLevel="0" collapsed="false">
      <c r="A23" s="60" t="n">
        <v>20</v>
      </c>
      <c r="B23" s="61" t="s">
        <v>100</v>
      </c>
      <c r="C23" s="62" t="n">
        <v>94</v>
      </c>
      <c r="D23" s="80"/>
      <c r="E23" s="81" t="n">
        <v>6</v>
      </c>
      <c r="F23" s="65" t="n">
        <v>26</v>
      </c>
      <c r="G23" s="65" t="n">
        <v>5</v>
      </c>
      <c r="H23" s="65" t="n">
        <v>3</v>
      </c>
      <c r="I23" s="66" t="n">
        <v>17</v>
      </c>
      <c r="J23" s="65" t="n">
        <v>20</v>
      </c>
      <c r="K23" s="65" t="n">
        <v>26</v>
      </c>
      <c r="L23" s="65" t="n">
        <v>0</v>
      </c>
      <c r="M23" s="66" t="n">
        <v>18</v>
      </c>
      <c r="N23" s="66" t="n">
        <v>6</v>
      </c>
      <c r="O23" s="66" t="n">
        <v>3</v>
      </c>
      <c r="P23" s="67" t="n">
        <v>55</v>
      </c>
      <c r="Q23" s="67" t="s">
        <v>102</v>
      </c>
      <c r="R23" s="67" t="n">
        <v>32</v>
      </c>
      <c r="S23" s="67" t="s">
        <v>103</v>
      </c>
      <c r="T23" s="67" t="n">
        <v>0</v>
      </c>
      <c r="U23" s="67" t="s">
        <v>101</v>
      </c>
      <c r="V23" s="67" t="n">
        <v>3</v>
      </c>
      <c r="W23" s="67" t="s">
        <v>102</v>
      </c>
      <c r="X23" s="68" t="s">
        <v>102</v>
      </c>
      <c r="Y23" s="69" t="n">
        <v>6</v>
      </c>
      <c r="Z23" s="70" t="n">
        <f aca="false">Y23/9</f>
        <v>0.666666666666667</v>
      </c>
      <c r="AA23" s="71" t="n">
        <v>18</v>
      </c>
      <c r="AB23" s="70" t="n">
        <f aca="false">AA23/18</f>
        <v>1</v>
      </c>
      <c r="AC23" s="72"/>
      <c r="AD23" s="73" t="n">
        <f aca="false">SUM(Y23,AA23)</f>
        <v>24</v>
      </c>
      <c r="AE23" s="70" t="n">
        <f aca="false">AD23/27</f>
        <v>0.888888888888889</v>
      </c>
      <c r="AF23" s="74" t="n">
        <v>8</v>
      </c>
      <c r="AG23" s="75" t="n">
        <f aca="false">AF23/8</f>
        <v>1</v>
      </c>
      <c r="AH23" s="74" t="n">
        <v>7</v>
      </c>
      <c r="AI23" s="75" t="n">
        <f aca="false">AH23/8</f>
        <v>0.875</v>
      </c>
      <c r="AJ23" s="74" t="n">
        <v>10</v>
      </c>
      <c r="AK23" s="75" t="n">
        <f aca="false">AJ23/10</f>
        <v>1</v>
      </c>
      <c r="AL23" s="77"/>
      <c r="AM23" s="77" t="n">
        <f aca="false">SUM(AF23,AH23,AJ23)</f>
        <v>25</v>
      </c>
      <c r="AN23" s="75" t="n">
        <f aca="false">AM23/26</f>
        <v>0.961538461538462</v>
      </c>
      <c r="AO23" s="73"/>
      <c r="AP23" s="71" t="n">
        <f aca="false">AF23</f>
        <v>8</v>
      </c>
      <c r="AQ23" s="70" t="n">
        <f aca="false">AP23/$AP$3</f>
        <v>1</v>
      </c>
      <c r="AR23" s="73" t="str">
        <f aca="false">IF((AP23/AP$3)&gt;0.899999999999999,"ME",IF((AP23/AP$3)&gt;0.749999999999999,"MP",IF((AP23/AP$3)&gt;0.599999999999999,"DP","WB")))</f>
        <v>ME</v>
      </c>
      <c r="AS23" s="73" t="n">
        <f aca="false">Y23+AH23</f>
        <v>13</v>
      </c>
      <c r="AT23" s="70" t="n">
        <f aca="false">AS23/$AS$3</f>
        <v>0.8125</v>
      </c>
      <c r="AU23" s="79" t="str">
        <f aca="false">IF((AS23/AS$3)&gt;0.899999999999999,"ME",IF((AS23/AS$3)&gt;0.749999999999999,"MP",IF((AS23/AS$3)&gt;0.599999999999999,"DP","WB")))</f>
        <v>MP</v>
      </c>
      <c r="AV23" s="79" t="n">
        <f aca="false">AJ23+AA23</f>
        <v>28</v>
      </c>
      <c r="AW23" s="70" t="n">
        <f aca="false">AV23/$AV$3</f>
        <v>1</v>
      </c>
      <c r="AX23" s="79" t="str">
        <f aca="false">IF((AV23/AV$3)&gt;0.899999999999999,"ME",IF((AV23/AV$3)&gt;0.749999999999999,"MP",IF((AV23/AV$3)&gt;0.599999999999999,"DP","WB")))</f>
        <v>ME</v>
      </c>
      <c r="AY23" s="73"/>
    </row>
    <row r="24" customFormat="false" ht="14.9" hidden="false" customHeight="false" outlineLevel="0" collapsed="false">
      <c r="A24" s="60" t="n">
        <v>21</v>
      </c>
      <c r="B24" s="61" t="s">
        <v>100</v>
      </c>
      <c r="C24" s="62" t="n">
        <v>97</v>
      </c>
      <c r="D24" s="80"/>
      <c r="E24" s="81" t="n">
        <v>6</v>
      </c>
      <c r="F24" s="65" t="n">
        <v>28</v>
      </c>
      <c r="G24" s="65" t="n">
        <v>7</v>
      </c>
      <c r="H24" s="65" t="n">
        <v>3</v>
      </c>
      <c r="I24" s="66" t="n">
        <v>18</v>
      </c>
      <c r="J24" s="65" t="n">
        <v>8</v>
      </c>
      <c r="K24" s="65" t="n">
        <v>27</v>
      </c>
      <c r="L24" s="65" t="n">
        <v>1</v>
      </c>
      <c r="M24" s="66" t="n">
        <v>20</v>
      </c>
      <c r="N24" s="66" t="n">
        <v>6</v>
      </c>
      <c r="O24" s="66" t="n">
        <v>4</v>
      </c>
      <c r="P24" s="67" t="n">
        <v>46</v>
      </c>
      <c r="Q24" s="67" t="s">
        <v>104</v>
      </c>
      <c r="R24" s="67" t="n">
        <v>33</v>
      </c>
      <c r="S24" s="67" t="s">
        <v>103</v>
      </c>
      <c r="T24" s="67" t="n">
        <v>1</v>
      </c>
      <c r="U24" s="67" t="s">
        <v>103</v>
      </c>
      <c r="V24" s="67" t="n">
        <v>4</v>
      </c>
      <c r="W24" s="67" t="s">
        <v>103</v>
      </c>
      <c r="X24" s="68" t="s">
        <v>102</v>
      </c>
      <c r="Y24" s="69" t="n">
        <v>7</v>
      </c>
      <c r="Z24" s="70" t="n">
        <f aca="false">Y24/9</f>
        <v>0.777777777777778</v>
      </c>
      <c r="AA24" s="71" t="n">
        <v>17</v>
      </c>
      <c r="AB24" s="70" t="n">
        <f aca="false">AA24/18</f>
        <v>0.944444444444444</v>
      </c>
      <c r="AC24" s="72"/>
      <c r="AD24" s="73" t="n">
        <f aca="false">SUM(Y24,AA24)</f>
        <v>24</v>
      </c>
      <c r="AE24" s="70" t="n">
        <f aca="false">AD24/27</f>
        <v>0.888888888888889</v>
      </c>
      <c r="AF24" s="74" t="n">
        <v>6</v>
      </c>
      <c r="AG24" s="75" t="n">
        <f aca="false">AF24/8</f>
        <v>0.75</v>
      </c>
      <c r="AH24" s="74" t="n">
        <v>7</v>
      </c>
      <c r="AI24" s="75" t="n">
        <f aca="false">AH24/8</f>
        <v>0.875</v>
      </c>
      <c r="AJ24" s="74" t="n">
        <v>6</v>
      </c>
      <c r="AK24" s="75" t="n">
        <f aca="false">AJ24/10</f>
        <v>0.6</v>
      </c>
      <c r="AL24" s="77"/>
      <c r="AM24" s="77" t="n">
        <f aca="false">SUM(AF24,AH24,AJ24)</f>
        <v>19</v>
      </c>
      <c r="AN24" s="75" t="n">
        <f aca="false">AM24/26</f>
        <v>0.730769230769231</v>
      </c>
      <c r="AO24" s="73"/>
      <c r="AP24" s="71" t="n">
        <f aca="false">AF24</f>
        <v>6</v>
      </c>
      <c r="AQ24" s="70" t="n">
        <f aca="false">AP24/$AP$3</f>
        <v>0.75</v>
      </c>
      <c r="AR24" s="73" t="str">
        <f aca="false">IF((AP24/AP$3)&gt;0.899999999999999,"ME",IF((AP24/AP$3)&gt;0.749999999999999,"MP",IF((AP24/AP$3)&gt;0.599999999999999,"DP","WB")))</f>
        <v>DP</v>
      </c>
      <c r="AS24" s="73" t="n">
        <f aca="false">Y24+AH24</f>
        <v>14</v>
      </c>
      <c r="AT24" s="70" t="n">
        <f aca="false">AS24/$AS$3</f>
        <v>0.875</v>
      </c>
      <c r="AU24" s="79" t="str">
        <f aca="false">IF((AS24/AS$3)&gt;0.899999999999999,"ME",IF((AS24/AS$3)&gt;0.749999999999999,"MP",IF((AS24/AS$3)&gt;0.599999999999999,"DP","WB")))</f>
        <v>MP</v>
      </c>
      <c r="AV24" s="79" t="n">
        <f aca="false">AJ24+AA24</f>
        <v>23</v>
      </c>
      <c r="AW24" s="70" t="n">
        <f aca="false">AV24/$AV$3</f>
        <v>0.821428571428571</v>
      </c>
      <c r="AX24" s="79" t="str">
        <f aca="false">IF((AV24/AV$3)&gt;0.899999999999999,"ME",IF((AV24/AV$3)&gt;0.749999999999999,"MP",IF((AV24/AV$3)&gt;0.599999999999999,"DP","WB")))</f>
        <v>MP</v>
      </c>
      <c r="AY24" s="73"/>
    </row>
    <row r="25" customFormat="false" ht="14.9" hidden="false" customHeight="false" outlineLevel="0" collapsed="false">
      <c r="A25" s="60" t="n">
        <v>22</v>
      </c>
      <c r="B25" s="61" t="s">
        <v>100</v>
      </c>
      <c r="C25" s="62" t="n">
        <v>94</v>
      </c>
      <c r="D25" s="80"/>
      <c r="E25" s="81" t="n">
        <v>2</v>
      </c>
      <c r="F25" s="65" t="n">
        <v>29</v>
      </c>
      <c r="G25" s="65" t="n">
        <v>5</v>
      </c>
      <c r="H25" s="65" t="n">
        <v>3</v>
      </c>
      <c r="I25" s="66" t="n">
        <v>12</v>
      </c>
      <c r="J25" s="65" t="n">
        <v>11</v>
      </c>
      <c r="K25" s="65" t="n">
        <v>19</v>
      </c>
      <c r="L25" s="65" t="n">
        <v>1</v>
      </c>
      <c r="M25" s="66" t="n">
        <v>17</v>
      </c>
      <c r="N25" s="66" t="n">
        <v>4</v>
      </c>
      <c r="O25" s="66" t="n">
        <v>1</v>
      </c>
      <c r="P25" s="67" t="n">
        <v>40</v>
      </c>
      <c r="Q25" s="67" t="s">
        <v>104</v>
      </c>
      <c r="R25" s="67" t="n">
        <v>23</v>
      </c>
      <c r="S25" s="67" t="s">
        <v>104</v>
      </c>
      <c r="T25" s="67" t="n">
        <v>1</v>
      </c>
      <c r="U25" s="67" t="s">
        <v>103</v>
      </c>
      <c r="V25" s="67" t="n">
        <v>1</v>
      </c>
      <c r="W25" s="67" t="s">
        <v>101</v>
      </c>
      <c r="X25" s="68" t="s">
        <v>104</v>
      </c>
      <c r="Y25" s="69" t="n">
        <v>6</v>
      </c>
      <c r="Z25" s="70" t="n">
        <f aca="false">Y25/9</f>
        <v>0.666666666666667</v>
      </c>
      <c r="AA25" s="71" t="n">
        <v>14</v>
      </c>
      <c r="AB25" s="70" t="n">
        <f aca="false">AA25/18</f>
        <v>0.777777777777778</v>
      </c>
      <c r="AC25" s="72"/>
      <c r="AD25" s="73" t="n">
        <f aca="false">SUM(Y25,AA25)</f>
        <v>20</v>
      </c>
      <c r="AE25" s="70" t="n">
        <f aca="false">AD25/27</f>
        <v>0.740740740740741</v>
      </c>
      <c r="AF25" s="74" t="n">
        <v>6</v>
      </c>
      <c r="AG25" s="75" t="n">
        <f aca="false">AF25/8</f>
        <v>0.75</v>
      </c>
      <c r="AH25" s="74" t="n">
        <v>7</v>
      </c>
      <c r="AI25" s="75" t="n">
        <f aca="false">AH25/8</f>
        <v>0.875</v>
      </c>
      <c r="AJ25" s="74" t="n">
        <v>7</v>
      </c>
      <c r="AK25" s="75" t="n">
        <f aca="false">AJ25/10</f>
        <v>0.7</v>
      </c>
      <c r="AL25" s="77"/>
      <c r="AM25" s="77" t="n">
        <f aca="false">SUM(AF25,AH25,AJ25)</f>
        <v>20</v>
      </c>
      <c r="AN25" s="75" t="n">
        <f aca="false">AM25/26</f>
        <v>0.769230769230769</v>
      </c>
      <c r="AO25" s="73"/>
      <c r="AP25" s="71" t="n">
        <f aca="false">AF25</f>
        <v>6</v>
      </c>
      <c r="AQ25" s="70" t="n">
        <f aca="false">AP25/$AP$3</f>
        <v>0.75</v>
      </c>
      <c r="AR25" s="73" t="str">
        <f aca="false">IF((AP25/AP$3)&gt;0.899999999999999,"ME",IF((AP25/AP$3)&gt;0.749999999999999,"MP",IF((AP25/AP$3)&gt;0.599999999999999,"DP","WB")))</f>
        <v>DP</v>
      </c>
      <c r="AS25" s="73" t="n">
        <f aca="false">Y25+AH25</f>
        <v>13</v>
      </c>
      <c r="AT25" s="70" t="n">
        <f aca="false">AS25/$AS$3</f>
        <v>0.8125</v>
      </c>
      <c r="AU25" s="79" t="str">
        <f aca="false">IF((AS25/AS$3)&gt;0.899999999999999,"ME",IF((AS25/AS$3)&gt;0.749999999999999,"MP",IF((AS25/AS$3)&gt;0.599999999999999,"DP","WB")))</f>
        <v>MP</v>
      </c>
      <c r="AV25" s="79" t="n">
        <f aca="false">AJ25+AA25</f>
        <v>21</v>
      </c>
      <c r="AW25" s="70" t="n">
        <f aca="false">AV25/$AV$3</f>
        <v>0.75</v>
      </c>
      <c r="AX25" s="79" t="str">
        <f aca="false">IF((AV25/AV$3)&gt;0.899999999999999,"ME",IF((AV25/AV$3)&gt;0.749999999999999,"MP",IF((AV25/AV$3)&gt;0.599999999999999,"DP","WB")))</f>
        <v>DP</v>
      </c>
      <c r="AY25" s="73"/>
    </row>
    <row r="26" customFormat="false" ht="14.9" hidden="false" customHeight="false" outlineLevel="0" collapsed="false">
      <c r="A26" s="60" t="n">
        <v>23</v>
      </c>
      <c r="B26" s="61" t="s">
        <v>100</v>
      </c>
      <c r="C26" s="62" t="n">
        <v>94</v>
      </c>
      <c r="D26" s="80"/>
      <c r="E26" s="81" t="n">
        <v>6</v>
      </c>
      <c r="F26" s="65" t="n">
        <v>30</v>
      </c>
      <c r="G26" s="65" t="n">
        <v>8</v>
      </c>
      <c r="H26" s="65" t="n">
        <v>4</v>
      </c>
      <c r="I26" s="66" t="n">
        <v>14</v>
      </c>
      <c r="J26" s="65" t="n">
        <v>10</v>
      </c>
      <c r="K26" s="65" t="n">
        <v>26</v>
      </c>
      <c r="L26" s="65" t="n">
        <v>0</v>
      </c>
      <c r="M26" s="66" t="n">
        <v>15</v>
      </c>
      <c r="N26" s="66" t="n">
        <v>5</v>
      </c>
      <c r="O26" s="66" t="n">
        <v>2</v>
      </c>
      <c r="P26" s="67" t="n">
        <v>39</v>
      </c>
      <c r="Q26" s="67" t="s">
        <v>104</v>
      </c>
      <c r="R26" s="67" t="n">
        <v>31</v>
      </c>
      <c r="S26" s="67" t="s">
        <v>103</v>
      </c>
      <c r="T26" s="67" t="n">
        <v>0</v>
      </c>
      <c r="U26" s="67" t="s">
        <v>101</v>
      </c>
      <c r="V26" s="67" t="n">
        <v>2</v>
      </c>
      <c r="W26" s="67" t="s">
        <v>101</v>
      </c>
      <c r="X26" s="68" t="s">
        <v>104</v>
      </c>
      <c r="Y26" s="69" t="n">
        <v>8</v>
      </c>
      <c r="Z26" s="70" t="n">
        <f aca="false">Y26/9</f>
        <v>0.888888888888889</v>
      </c>
      <c r="AA26" s="71" t="n">
        <v>17</v>
      </c>
      <c r="AB26" s="70" t="n">
        <f aca="false">AA26/18</f>
        <v>0.944444444444444</v>
      </c>
      <c r="AC26" s="72"/>
      <c r="AD26" s="73" t="n">
        <f aca="false">SUM(Y26,AA26)</f>
        <v>25</v>
      </c>
      <c r="AE26" s="70" t="n">
        <f aca="false">AD26/27</f>
        <v>0.925925925925926</v>
      </c>
      <c r="AF26" s="74" t="n">
        <v>5</v>
      </c>
      <c r="AG26" s="75" t="n">
        <f aca="false">AF26/8</f>
        <v>0.625</v>
      </c>
      <c r="AH26" s="74" t="n">
        <v>8</v>
      </c>
      <c r="AI26" s="75" t="n">
        <f aca="false">AH26/8</f>
        <v>1</v>
      </c>
      <c r="AJ26" s="74" t="n">
        <v>4</v>
      </c>
      <c r="AK26" s="75" t="n">
        <f aca="false">AJ26/10</f>
        <v>0.4</v>
      </c>
      <c r="AL26" s="77"/>
      <c r="AM26" s="77" t="n">
        <f aca="false">SUM(AF26,AH26,AJ26)</f>
        <v>17</v>
      </c>
      <c r="AN26" s="75" t="n">
        <f aca="false">AM26/26</f>
        <v>0.653846153846154</v>
      </c>
      <c r="AO26" s="73"/>
      <c r="AP26" s="71" t="n">
        <f aca="false">AF26</f>
        <v>5</v>
      </c>
      <c r="AQ26" s="70" t="n">
        <f aca="false">AP26/$AP$3</f>
        <v>0.625</v>
      </c>
      <c r="AR26" s="73" t="str">
        <f aca="false">IF((AP26/AP$3)&gt;0.899999999999999,"ME",IF((AP26/AP$3)&gt;0.749999999999999,"MP",IF((AP26/AP$3)&gt;0.599999999999999,"DP","WB")))</f>
        <v>DP</v>
      </c>
      <c r="AS26" s="73" t="n">
        <f aca="false">Y26+AH26</f>
        <v>16</v>
      </c>
      <c r="AT26" s="70" t="n">
        <f aca="false">AS26/$AS$3</f>
        <v>1</v>
      </c>
      <c r="AU26" s="79" t="str">
        <f aca="false">IF((AS26/AS$3)&gt;0.899999999999999,"ME",IF((AS26/AS$3)&gt;0.749999999999999,"MP",IF((AS26/AS$3)&gt;0.599999999999999,"DP","WB")))</f>
        <v>ME</v>
      </c>
      <c r="AV26" s="79" t="n">
        <f aca="false">AJ26+AA26</f>
        <v>21</v>
      </c>
      <c r="AW26" s="70" t="n">
        <f aca="false">AV26/$AV$3</f>
        <v>0.75</v>
      </c>
      <c r="AX26" s="79" t="str">
        <f aca="false">IF((AV26/AV$3)&gt;0.899999999999999,"ME",IF((AV26/AV$3)&gt;0.749999999999999,"MP",IF((AV26/AV$3)&gt;0.599999999999999,"DP","WB")))</f>
        <v>DP</v>
      </c>
      <c r="AY26" s="73"/>
    </row>
    <row r="27" customFormat="false" ht="14.9" hidden="false" customHeight="false" outlineLevel="0" collapsed="false">
      <c r="A27" s="60" t="n">
        <v>24</v>
      </c>
      <c r="B27" s="61" t="s">
        <v>100</v>
      </c>
      <c r="C27" s="62" t="n">
        <v>94</v>
      </c>
      <c r="D27" s="80"/>
      <c r="E27" s="81" t="n">
        <v>5</v>
      </c>
      <c r="F27" s="65" t="n">
        <v>23</v>
      </c>
      <c r="G27" s="65" t="n">
        <v>4</v>
      </c>
      <c r="H27" s="65" t="n">
        <v>2</v>
      </c>
      <c r="I27" s="66" t="n">
        <v>14</v>
      </c>
      <c r="J27" s="65" t="n">
        <v>10</v>
      </c>
      <c r="K27" s="65" t="n">
        <v>26</v>
      </c>
      <c r="L27" s="65" t="n">
        <v>1</v>
      </c>
      <c r="M27" s="66" t="n">
        <v>10</v>
      </c>
      <c r="N27" s="66" t="n">
        <v>4</v>
      </c>
      <c r="O27" s="66"/>
      <c r="P27" s="67" t="n">
        <v>34</v>
      </c>
      <c r="Q27" s="67" t="s">
        <v>101</v>
      </c>
      <c r="R27" s="67" t="n">
        <v>30</v>
      </c>
      <c r="S27" s="67" t="s">
        <v>103</v>
      </c>
      <c r="T27" s="67" t="n">
        <v>1</v>
      </c>
      <c r="U27" s="67" t="s">
        <v>103</v>
      </c>
      <c r="V27" s="67" t="n">
        <v>0</v>
      </c>
      <c r="W27" s="67" t="s">
        <v>101</v>
      </c>
      <c r="X27" s="68" t="s">
        <v>104</v>
      </c>
      <c r="Y27" s="69" t="n">
        <v>7</v>
      </c>
      <c r="Z27" s="70" t="n">
        <f aca="false">Y27/9</f>
        <v>0.777777777777778</v>
      </c>
      <c r="AA27" s="71" t="n">
        <v>9</v>
      </c>
      <c r="AB27" s="70" t="n">
        <f aca="false">AA27/18</f>
        <v>0.5</v>
      </c>
      <c r="AC27" s="72"/>
      <c r="AD27" s="73" t="n">
        <f aca="false">SUM(Y27,AA27)</f>
        <v>16</v>
      </c>
      <c r="AE27" s="70" t="n">
        <f aca="false">AD27/27</f>
        <v>0.592592592592593</v>
      </c>
      <c r="AF27" s="74" t="n">
        <v>6</v>
      </c>
      <c r="AG27" s="75" t="n">
        <f aca="false">AF27/8</f>
        <v>0.75</v>
      </c>
      <c r="AH27" s="74" t="n">
        <v>2</v>
      </c>
      <c r="AI27" s="75" t="n">
        <f aca="false">AH27/8</f>
        <v>0.25</v>
      </c>
      <c r="AJ27" s="74" t="n">
        <v>4</v>
      </c>
      <c r="AK27" s="75" t="n">
        <f aca="false">AJ27/10</f>
        <v>0.4</v>
      </c>
      <c r="AL27" s="77"/>
      <c r="AM27" s="77" t="n">
        <f aca="false">SUM(AF27,AH27,AJ27)</f>
        <v>12</v>
      </c>
      <c r="AN27" s="75" t="n">
        <f aca="false">AM27/26</f>
        <v>0.461538461538462</v>
      </c>
      <c r="AO27" s="73"/>
      <c r="AP27" s="71" t="n">
        <f aca="false">AF27</f>
        <v>6</v>
      </c>
      <c r="AQ27" s="70" t="n">
        <f aca="false">AP27/$AP$3</f>
        <v>0.75</v>
      </c>
      <c r="AR27" s="73" t="str">
        <f aca="false">IF((AP27/AP$3)&gt;0.899999999999999,"ME",IF((AP27/AP$3)&gt;0.749999999999999,"MP",IF((AP27/AP$3)&gt;0.599999999999999,"DP","WB")))</f>
        <v>DP</v>
      </c>
      <c r="AS27" s="73" t="n">
        <f aca="false">Y27+AH27</f>
        <v>9</v>
      </c>
      <c r="AT27" s="70" t="n">
        <f aca="false">AS27/$AS$3</f>
        <v>0.5625</v>
      </c>
      <c r="AU27" s="79" t="str">
        <f aca="false">IF((AS27/AS$3)&gt;0.899999999999999,"ME",IF((AS27/AS$3)&gt;0.749999999999999,"MP",IF((AS27/AS$3)&gt;0.599999999999999,"DP","WB")))</f>
        <v>WB</v>
      </c>
      <c r="AV27" s="79" t="n">
        <f aca="false">AJ27+AA27</f>
        <v>13</v>
      </c>
      <c r="AW27" s="70" t="n">
        <f aca="false">AV27/$AV$3</f>
        <v>0.464285714285714</v>
      </c>
      <c r="AX27" s="79" t="str">
        <f aca="false">IF((AV27/AV$3)&gt;0.899999999999999,"ME",IF((AV27/AV$3)&gt;0.749999999999999,"MP",IF((AV27/AV$3)&gt;0.599999999999999,"DP","WB")))</f>
        <v>WB</v>
      </c>
      <c r="AY27" s="73"/>
    </row>
    <row r="28" customFormat="false" ht="14.9" hidden="false" customHeight="false" outlineLevel="0" collapsed="false">
      <c r="A28" s="60" t="n">
        <v>25</v>
      </c>
      <c r="B28" s="61" t="s">
        <v>100</v>
      </c>
      <c r="C28" s="62" t="n">
        <v>100</v>
      </c>
      <c r="D28" s="80"/>
      <c r="E28" s="81" t="n">
        <v>5</v>
      </c>
      <c r="F28" s="65" t="n">
        <v>29</v>
      </c>
      <c r="G28" s="65" t="n">
        <v>8</v>
      </c>
      <c r="H28" s="65" t="n">
        <v>3</v>
      </c>
      <c r="I28" s="66" t="n">
        <v>17</v>
      </c>
      <c r="J28" s="65" t="n">
        <v>6</v>
      </c>
      <c r="K28" s="65" t="n">
        <v>27</v>
      </c>
      <c r="L28" s="65" t="n">
        <v>0</v>
      </c>
      <c r="M28" s="66" t="n">
        <v>16</v>
      </c>
      <c r="N28" s="66" t="n">
        <v>4</v>
      </c>
      <c r="O28" s="66" t="n">
        <v>1</v>
      </c>
      <c r="P28" s="67" t="n">
        <v>39</v>
      </c>
      <c r="Q28" s="67" t="s">
        <v>104</v>
      </c>
      <c r="R28" s="67" t="n">
        <v>31</v>
      </c>
      <c r="S28" s="67" t="s">
        <v>103</v>
      </c>
      <c r="T28" s="67" t="n">
        <v>0</v>
      </c>
      <c r="U28" s="67" t="s">
        <v>101</v>
      </c>
      <c r="V28" s="67" t="n">
        <v>1</v>
      </c>
      <c r="W28" s="67" t="s">
        <v>101</v>
      </c>
      <c r="X28" s="68" t="s">
        <v>104</v>
      </c>
      <c r="Y28" s="69" t="n">
        <v>7</v>
      </c>
      <c r="Z28" s="70" t="n">
        <f aca="false">Y28/9</f>
        <v>0.777777777777778</v>
      </c>
      <c r="AA28" s="71" t="n">
        <v>14</v>
      </c>
      <c r="AB28" s="70" t="n">
        <f aca="false">AA28/18</f>
        <v>0.777777777777778</v>
      </c>
      <c r="AC28" s="72"/>
      <c r="AD28" s="73" t="n">
        <f aca="false">SUM(Y28,AA28)</f>
        <v>21</v>
      </c>
      <c r="AE28" s="70" t="n">
        <f aca="false">AD28/27</f>
        <v>0.777777777777778</v>
      </c>
      <c r="AF28" s="74" t="n">
        <v>8</v>
      </c>
      <c r="AG28" s="75" t="n">
        <f aca="false">AF28/8</f>
        <v>1</v>
      </c>
      <c r="AH28" s="74" t="n">
        <v>7</v>
      </c>
      <c r="AI28" s="75" t="n">
        <f aca="false">AH28/8</f>
        <v>0.875</v>
      </c>
      <c r="AJ28" s="74" t="n">
        <v>10</v>
      </c>
      <c r="AK28" s="75" t="n">
        <f aca="false">AJ28/10</f>
        <v>1</v>
      </c>
      <c r="AL28" s="77"/>
      <c r="AM28" s="77" t="n">
        <f aca="false">SUM(AF28,AH28,AJ28)</f>
        <v>25</v>
      </c>
      <c r="AN28" s="75" t="n">
        <f aca="false">AM28/26</f>
        <v>0.961538461538462</v>
      </c>
      <c r="AO28" s="73"/>
      <c r="AP28" s="71" t="n">
        <f aca="false">AF28</f>
        <v>8</v>
      </c>
      <c r="AQ28" s="70" t="n">
        <f aca="false">AP28/$AP$3</f>
        <v>1</v>
      </c>
      <c r="AR28" s="73" t="str">
        <f aca="false">IF((AP28/AP$3)&gt;0.899999999999999,"ME",IF((AP28/AP$3)&gt;0.749999999999999,"MP",IF((AP28/AP$3)&gt;0.599999999999999,"DP","WB")))</f>
        <v>ME</v>
      </c>
      <c r="AS28" s="73" t="n">
        <f aca="false">Y28+AH28</f>
        <v>14</v>
      </c>
      <c r="AT28" s="70" t="n">
        <f aca="false">AS28/$AS$3</f>
        <v>0.875</v>
      </c>
      <c r="AU28" s="79" t="str">
        <f aca="false">IF((AS28/AS$3)&gt;0.899999999999999,"ME",IF((AS28/AS$3)&gt;0.749999999999999,"MP",IF((AS28/AS$3)&gt;0.599999999999999,"DP","WB")))</f>
        <v>MP</v>
      </c>
      <c r="AV28" s="79" t="n">
        <f aca="false">AJ28+AA28</f>
        <v>24</v>
      </c>
      <c r="AW28" s="70" t="n">
        <f aca="false">AV28/$AV$3</f>
        <v>0.857142857142857</v>
      </c>
      <c r="AX28" s="79" t="str">
        <f aca="false">IF((AV28/AV$3)&gt;0.899999999999999,"ME",IF((AV28/AV$3)&gt;0.749999999999999,"MP",IF((AV28/AV$3)&gt;0.599999999999999,"DP","WB")))</f>
        <v>MP</v>
      </c>
      <c r="AY28" s="73"/>
    </row>
    <row r="29" customFormat="false" ht="13.8" hidden="false" customHeight="false" outlineLevel="0" collapsed="false">
      <c r="A29" s="60" t="n">
        <v>26</v>
      </c>
      <c r="B29" s="61" t="s">
        <v>100</v>
      </c>
      <c r="C29" s="62"/>
      <c r="D29" s="80"/>
      <c r="E29" s="81" t="n">
        <v>5</v>
      </c>
      <c r="F29" s="65" t="n">
        <v>22</v>
      </c>
      <c r="G29" s="65" t="n">
        <v>5</v>
      </c>
      <c r="H29" s="65" t="n">
        <v>3</v>
      </c>
      <c r="I29" s="66" t="n">
        <v>13</v>
      </c>
      <c r="J29" s="65" t="n">
        <v>6</v>
      </c>
      <c r="K29" s="65" t="n">
        <v>27</v>
      </c>
      <c r="L29" s="65" t="n">
        <v>0</v>
      </c>
      <c r="M29" s="66" t="n">
        <v>9</v>
      </c>
      <c r="N29" s="66" t="n">
        <v>4</v>
      </c>
      <c r="O29" s="66" t="n">
        <v>2</v>
      </c>
      <c r="P29" s="67" t="n">
        <v>28</v>
      </c>
      <c r="Q29" s="67" t="s">
        <v>101</v>
      </c>
      <c r="R29" s="67" t="n">
        <v>31</v>
      </c>
      <c r="S29" s="67" t="s">
        <v>103</v>
      </c>
      <c r="T29" s="67" t="n">
        <v>0</v>
      </c>
      <c r="U29" s="67" t="s">
        <v>101</v>
      </c>
      <c r="V29" s="67" t="n">
        <v>2</v>
      </c>
      <c r="W29" s="67" t="s">
        <v>101</v>
      </c>
      <c r="X29" s="68" t="s">
        <v>104</v>
      </c>
      <c r="Y29" s="69" t="n">
        <v>5</v>
      </c>
      <c r="Z29" s="70" t="n">
        <f aca="false">Y29/9</f>
        <v>0.555555555555556</v>
      </c>
      <c r="AA29" s="71" t="n">
        <v>18</v>
      </c>
      <c r="AB29" s="70" t="n">
        <f aca="false">AA29/18</f>
        <v>1</v>
      </c>
      <c r="AC29" s="72"/>
      <c r="AD29" s="73" t="n">
        <f aca="false">SUM(Y29,AA29)</f>
        <v>23</v>
      </c>
      <c r="AE29" s="70" t="n">
        <f aca="false">AD29/27</f>
        <v>0.851851851851852</v>
      </c>
      <c r="AF29" s="74" t="n">
        <v>8</v>
      </c>
      <c r="AG29" s="75" t="n">
        <f aca="false">AF29/8</f>
        <v>1</v>
      </c>
      <c r="AH29" s="74" t="n">
        <v>2</v>
      </c>
      <c r="AI29" s="75" t="n">
        <f aca="false">AH29/8</f>
        <v>0.25</v>
      </c>
      <c r="AJ29" s="74" t="n">
        <v>8</v>
      </c>
      <c r="AK29" s="75" t="n">
        <f aca="false">AJ29/10</f>
        <v>0.8</v>
      </c>
      <c r="AL29" s="77"/>
      <c r="AM29" s="77" t="n">
        <f aca="false">SUM(AF29,AH29,AJ29)</f>
        <v>18</v>
      </c>
      <c r="AN29" s="75" t="n">
        <f aca="false">AM29/26</f>
        <v>0.692307692307692</v>
      </c>
      <c r="AO29" s="73"/>
      <c r="AP29" s="71" t="n">
        <f aca="false">AF29</f>
        <v>8</v>
      </c>
      <c r="AQ29" s="70" t="n">
        <f aca="false">AP29/$AP$3</f>
        <v>1</v>
      </c>
      <c r="AR29" s="73" t="str">
        <f aca="false">IF((AP29/AP$3)&gt;0.899999999999999,"ME",IF((AP29/AP$3)&gt;0.749999999999999,"MP",IF((AP29/AP$3)&gt;0.599999999999999,"DP","WB")))</f>
        <v>ME</v>
      </c>
      <c r="AS29" s="73" t="n">
        <f aca="false">Y29+AH29</f>
        <v>7</v>
      </c>
      <c r="AT29" s="70" t="n">
        <f aca="false">AS29/$AS$3</f>
        <v>0.4375</v>
      </c>
      <c r="AU29" s="79" t="str">
        <f aca="false">IF((AS29/AS$3)&gt;0.899999999999999,"ME",IF((AS29/AS$3)&gt;0.749999999999999,"MP",IF((AS29/AS$3)&gt;0.599999999999999,"DP","WB")))</f>
        <v>WB</v>
      </c>
      <c r="AV29" s="79" t="n">
        <f aca="false">AJ29+AA29</f>
        <v>26</v>
      </c>
      <c r="AW29" s="70" t="n">
        <f aca="false">AV29/$AV$3</f>
        <v>0.928571428571429</v>
      </c>
      <c r="AX29" s="79" t="str">
        <f aca="false">IF((AV29/AV$3)&gt;0.899999999999999,"ME",IF((AV29/AV$3)&gt;0.749999999999999,"MP",IF((AV29/AV$3)&gt;0.599999999999999,"DP","WB")))</f>
        <v>ME</v>
      </c>
      <c r="AY29" s="73"/>
    </row>
    <row r="30" customFormat="false" ht="13.8" hidden="false" customHeight="false" outlineLevel="0" collapsed="false">
      <c r="A30" s="60" t="n">
        <v>27</v>
      </c>
      <c r="B30" s="61" t="s">
        <v>100</v>
      </c>
      <c r="C30" s="62"/>
      <c r="D30" s="80"/>
      <c r="E30" s="81" t="n">
        <v>6</v>
      </c>
      <c r="F30" s="65" t="n">
        <v>27</v>
      </c>
      <c r="G30" s="65" t="n">
        <v>6</v>
      </c>
      <c r="H30" s="65" t="n">
        <v>3</v>
      </c>
      <c r="I30" s="66" t="n">
        <v>19</v>
      </c>
      <c r="J30" s="65" t="n">
        <v>19</v>
      </c>
      <c r="K30" s="65" t="n">
        <v>19</v>
      </c>
      <c r="L30" s="65" t="n">
        <v>1</v>
      </c>
      <c r="M30" s="66" t="n">
        <v>18</v>
      </c>
      <c r="N30" s="66" t="n">
        <v>6</v>
      </c>
      <c r="O30" s="66" t="n">
        <v>2</v>
      </c>
      <c r="P30" s="67" t="n">
        <v>56</v>
      </c>
      <c r="Q30" s="67" t="s">
        <v>103</v>
      </c>
      <c r="R30" s="67" t="n">
        <v>25</v>
      </c>
      <c r="S30" s="67" t="s">
        <v>102</v>
      </c>
      <c r="T30" s="67" t="n">
        <v>1</v>
      </c>
      <c r="U30" s="67" t="s">
        <v>103</v>
      </c>
      <c r="V30" s="67" t="n">
        <v>2</v>
      </c>
      <c r="W30" s="67" t="s">
        <v>101</v>
      </c>
      <c r="X30" s="68" t="s">
        <v>102</v>
      </c>
      <c r="Y30" s="69" t="n">
        <v>6</v>
      </c>
      <c r="Z30" s="70" t="n">
        <f aca="false">Y30/9</f>
        <v>0.666666666666667</v>
      </c>
      <c r="AA30" s="71" t="n">
        <v>11</v>
      </c>
      <c r="AB30" s="70" t="n">
        <f aca="false">AA30/18</f>
        <v>0.611111111111111</v>
      </c>
      <c r="AC30" s="72"/>
      <c r="AD30" s="73" t="n">
        <f aca="false">SUM(Y30,AA30)</f>
        <v>17</v>
      </c>
      <c r="AE30" s="70" t="n">
        <f aca="false">AD30/27</f>
        <v>0.62962962962963</v>
      </c>
      <c r="AF30" s="74" t="n">
        <v>8</v>
      </c>
      <c r="AG30" s="75" t="n">
        <f aca="false">AF30/8</f>
        <v>1</v>
      </c>
      <c r="AH30" s="74" t="n">
        <v>4</v>
      </c>
      <c r="AI30" s="75" t="n">
        <f aca="false">AH30/8</f>
        <v>0.5</v>
      </c>
      <c r="AJ30" s="74" t="n">
        <v>5</v>
      </c>
      <c r="AK30" s="75" t="n">
        <f aca="false">AJ30/10</f>
        <v>0.5</v>
      </c>
      <c r="AL30" s="77"/>
      <c r="AM30" s="77" t="n">
        <f aca="false">SUM(AF30,AH30,AJ30)</f>
        <v>17</v>
      </c>
      <c r="AN30" s="75" t="n">
        <f aca="false">AM30/26</f>
        <v>0.653846153846154</v>
      </c>
      <c r="AO30" s="73"/>
      <c r="AP30" s="71" t="n">
        <f aca="false">AF30</f>
        <v>8</v>
      </c>
      <c r="AQ30" s="70" t="n">
        <f aca="false">AP30/$AP$3</f>
        <v>1</v>
      </c>
      <c r="AR30" s="73" t="str">
        <f aca="false">IF((AP30/AP$3)&gt;0.899999999999999,"ME",IF((AP30/AP$3)&gt;0.749999999999999,"MP",IF((AP30/AP$3)&gt;0.599999999999999,"DP","WB")))</f>
        <v>ME</v>
      </c>
      <c r="AS30" s="73" t="n">
        <f aca="false">Y30+AH30</f>
        <v>10</v>
      </c>
      <c r="AT30" s="70" t="n">
        <f aca="false">AS30/$AS$3</f>
        <v>0.625</v>
      </c>
      <c r="AU30" s="79" t="str">
        <f aca="false">IF((AS30/AS$3)&gt;0.899999999999999,"ME",IF((AS30/AS$3)&gt;0.749999999999999,"MP",IF((AS30/AS$3)&gt;0.599999999999999,"DP","WB")))</f>
        <v>DP</v>
      </c>
      <c r="AV30" s="79" t="n">
        <f aca="false">AJ30+AA30</f>
        <v>16</v>
      </c>
      <c r="AW30" s="70" t="n">
        <f aca="false">AV30/$AV$3</f>
        <v>0.571428571428571</v>
      </c>
      <c r="AX30" s="79" t="str">
        <f aca="false">IF((AV30/AV$3)&gt;0.899999999999999,"ME",IF((AV30/AV$3)&gt;0.749999999999999,"MP",IF((AV30/AV$3)&gt;0.599999999999999,"DP","WB")))</f>
        <v>WB</v>
      </c>
      <c r="AY30" s="73"/>
    </row>
    <row r="31" customFormat="false" ht="15" hidden="false" customHeight="false" outlineLevel="0" collapsed="false">
      <c r="A31" s="60" t="n">
        <v>28</v>
      </c>
      <c r="B31" s="61" t="s">
        <v>100</v>
      </c>
      <c r="C31" s="60"/>
      <c r="D31" s="83"/>
      <c r="E31" s="84"/>
      <c r="F31" s="84"/>
      <c r="G31" s="84"/>
      <c r="H31" s="84" t="n">
        <v>1</v>
      </c>
      <c r="I31" s="85" t="n">
        <v>13</v>
      </c>
      <c r="J31" s="84" t="n">
        <v>17</v>
      </c>
      <c r="K31" s="84" t="n">
        <v>11</v>
      </c>
      <c r="L31" s="84" t="n">
        <v>1</v>
      </c>
      <c r="M31" s="85" t="n">
        <v>19</v>
      </c>
      <c r="N31" s="85" t="n">
        <v>6</v>
      </c>
      <c r="O31" s="85" t="n">
        <v>1</v>
      </c>
      <c r="P31" s="86" t="n">
        <v>49</v>
      </c>
      <c r="Q31" s="86" t="s">
        <v>102</v>
      </c>
      <c r="R31" s="86" t="n">
        <v>17</v>
      </c>
      <c r="S31" s="86" t="s">
        <v>101</v>
      </c>
      <c r="T31" s="86" t="n">
        <v>1</v>
      </c>
      <c r="U31" s="86" t="s">
        <v>103</v>
      </c>
      <c r="V31" s="86" t="n">
        <v>1</v>
      </c>
      <c r="W31" s="86" t="s">
        <v>101</v>
      </c>
      <c r="X31" s="87" t="s">
        <v>104</v>
      </c>
      <c r="Y31" s="88" t="n">
        <v>7</v>
      </c>
      <c r="Z31" s="70" t="n">
        <f aca="false">Y31/9</f>
        <v>0.777777777777778</v>
      </c>
      <c r="AA31" s="89" t="n">
        <v>11</v>
      </c>
      <c r="AB31" s="70" t="n">
        <f aca="false">AA31/18</f>
        <v>0.611111111111111</v>
      </c>
      <c r="AC31" s="90"/>
      <c r="AD31" s="91" t="n">
        <f aca="false">SUM(Y31,AA31)</f>
        <v>18</v>
      </c>
      <c r="AE31" s="70" t="n">
        <f aca="false">AD31/27</f>
        <v>0.666666666666667</v>
      </c>
      <c r="AF31" s="92" t="n">
        <v>8</v>
      </c>
      <c r="AG31" s="75" t="n">
        <f aca="false">AF31/8</f>
        <v>1</v>
      </c>
      <c r="AH31" s="92" t="n">
        <v>2</v>
      </c>
      <c r="AI31" s="75" t="n">
        <f aca="false">AH31/8</f>
        <v>0.25</v>
      </c>
      <c r="AJ31" s="92" t="n">
        <v>7</v>
      </c>
      <c r="AK31" s="75" t="n">
        <f aca="false">AJ31/10</f>
        <v>0.7</v>
      </c>
      <c r="AL31" s="84"/>
      <c r="AM31" s="93" t="n">
        <f aca="false">SUM(AF31,AH31,AJ31)</f>
        <v>17</v>
      </c>
      <c r="AN31" s="75" t="n">
        <f aca="false">AM31/26</f>
        <v>0.653846153846154</v>
      </c>
      <c r="AO31" s="90"/>
      <c r="AP31" s="89" t="n">
        <f aca="false">AF31</f>
        <v>8</v>
      </c>
      <c r="AQ31" s="70" t="n">
        <f aca="false">AP31/$AP$3</f>
        <v>1</v>
      </c>
      <c r="AR31" s="73" t="str">
        <f aca="false">IF((AP31/AP$3)&gt;0.899999999999999,"ME",IF((AP31/AP$3)&gt;0.749999999999999,"MP",IF((AP31/AP$3)&gt;0.599999999999999,"DP","WB")))</f>
        <v>ME</v>
      </c>
      <c r="AS31" s="91" t="n">
        <f aca="false">Y31+AH31</f>
        <v>9</v>
      </c>
      <c r="AT31" s="70" t="n">
        <f aca="false">AS31/$AS$3</f>
        <v>0.5625</v>
      </c>
      <c r="AU31" s="79" t="str">
        <f aca="false">IF((AS31/AS$3)&gt;0.899999999999999,"ME",IF((AS31/AS$3)&gt;0.749999999999999,"MP",IF((AS31/AS$3)&gt;0.599999999999999,"DP","WB")))</f>
        <v>WB</v>
      </c>
      <c r="AV31" s="94" t="n">
        <f aca="false">AJ31+AA31</f>
        <v>18</v>
      </c>
      <c r="AW31" s="70" t="n">
        <f aca="false">AV31/$AV$3</f>
        <v>0.642857142857143</v>
      </c>
      <c r="AX31" s="79" t="str">
        <f aca="false">IF((AV31/AV$3)&gt;0.899999999999999,"ME",IF((AV31/AV$3)&gt;0.749999999999999,"MP",IF((AV31/AV$3)&gt;0.599999999999999,"DP","WB")))</f>
        <v>DP</v>
      </c>
      <c r="AY31" s="91"/>
    </row>
    <row r="32" customFormat="false" ht="15" hidden="false" customHeight="false" outlineLevel="0" collapsed="false">
      <c r="A32" s="60" t="n">
        <v>29</v>
      </c>
      <c r="B32" s="61" t="s">
        <v>100</v>
      </c>
      <c r="C32" s="60"/>
      <c r="D32" s="83"/>
      <c r="E32" s="84"/>
      <c r="F32" s="84"/>
      <c r="G32" s="84"/>
      <c r="H32" s="84"/>
      <c r="I32" s="85"/>
      <c r="J32" s="84"/>
      <c r="K32" s="84"/>
      <c r="L32" s="84"/>
      <c r="M32" s="85"/>
      <c r="N32" s="85"/>
      <c r="O32" s="85"/>
      <c r="P32" s="86"/>
      <c r="Q32" s="86"/>
      <c r="R32" s="86"/>
      <c r="S32" s="86"/>
      <c r="T32" s="86"/>
      <c r="U32" s="86"/>
      <c r="V32" s="86"/>
      <c r="W32" s="86"/>
      <c r="X32" s="87"/>
      <c r="Y32" s="88" t="n">
        <v>1</v>
      </c>
      <c r="Z32" s="70" t="n">
        <f aca="false">Y32/9</f>
        <v>0.111111111111111</v>
      </c>
      <c r="AA32" s="89" t="n">
        <v>18</v>
      </c>
      <c r="AB32" s="70" t="n">
        <f aca="false">AA32/18</f>
        <v>1</v>
      </c>
      <c r="AC32" s="90"/>
      <c r="AD32" s="91" t="n">
        <f aca="false">SUM(Y32,AA32)</f>
        <v>19</v>
      </c>
      <c r="AE32" s="70" t="n">
        <f aca="false">AD32/27</f>
        <v>0.703703703703704</v>
      </c>
      <c r="AF32" s="92" t="n">
        <v>6</v>
      </c>
      <c r="AG32" s="75" t="n">
        <f aca="false">AF32/8</f>
        <v>0.75</v>
      </c>
      <c r="AH32" s="92" t="n">
        <v>2</v>
      </c>
      <c r="AI32" s="75" t="n">
        <f aca="false">AH32/8</f>
        <v>0.25</v>
      </c>
      <c r="AJ32" s="92" t="n">
        <v>5</v>
      </c>
      <c r="AK32" s="75" t="n">
        <f aca="false">AJ32/10</f>
        <v>0.5</v>
      </c>
      <c r="AL32" s="84"/>
      <c r="AM32" s="93" t="n">
        <f aca="false">SUM(AF32,AH32,AJ32)</f>
        <v>13</v>
      </c>
      <c r="AN32" s="75" t="n">
        <f aca="false">AM32/26</f>
        <v>0.5</v>
      </c>
      <c r="AO32" s="90"/>
      <c r="AP32" s="89" t="n">
        <f aca="false">AF32</f>
        <v>6</v>
      </c>
      <c r="AQ32" s="70" t="n">
        <f aca="false">AP32/$AP$3</f>
        <v>0.75</v>
      </c>
      <c r="AR32" s="73" t="str">
        <f aca="false">IF((AP32/AP$3)&gt;0.899999999999999,"ME",IF((AP32/AP$3)&gt;0.749999999999999,"MP",IF((AP32/AP$3)&gt;0.599999999999999,"DP","WB")))</f>
        <v>DP</v>
      </c>
      <c r="AS32" s="91" t="n">
        <f aca="false">Y32+AH32</f>
        <v>3</v>
      </c>
      <c r="AT32" s="70" t="n">
        <f aca="false">AS32/$AS$3</f>
        <v>0.1875</v>
      </c>
      <c r="AU32" s="79" t="str">
        <f aca="false">IF((AS32/AS$3)&gt;0.899999999999999,"ME",IF((AS32/AS$3)&gt;0.749999999999999,"MP",IF((AS32/AS$3)&gt;0.599999999999999,"DP","WB")))</f>
        <v>WB</v>
      </c>
      <c r="AV32" s="94" t="n">
        <f aca="false">AJ32+AA32</f>
        <v>23</v>
      </c>
      <c r="AW32" s="70" t="n">
        <f aca="false">AV32/$AV$3</f>
        <v>0.821428571428571</v>
      </c>
      <c r="AX32" s="79" t="str">
        <f aca="false">IF((AV32/AV$3)&gt;0.899999999999999,"ME",IF((AV32/AV$3)&gt;0.749999999999999,"MP",IF((AV32/AV$3)&gt;0.599999999999999,"DP","WB")))</f>
        <v>MP</v>
      </c>
      <c r="AY32" s="91"/>
    </row>
    <row r="33" customFormat="false" ht="15" hidden="false" customHeight="false" outlineLevel="0" collapsed="false">
      <c r="A33" s="60" t="n">
        <v>30</v>
      </c>
      <c r="B33" s="61" t="s">
        <v>100</v>
      </c>
      <c r="C33" s="60"/>
      <c r="D33" s="83"/>
      <c r="E33" s="84"/>
      <c r="F33" s="84"/>
      <c r="G33" s="84"/>
      <c r="H33" s="84"/>
      <c r="I33" s="85"/>
      <c r="J33" s="84"/>
      <c r="K33" s="84"/>
      <c r="L33" s="84"/>
      <c r="M33" s="85"/>
      <c r="N33" s="85"/>
      <c r="O33" s="85"/>
      <c r="P33" s="86"/>
      <c r="Q33" s="86"/>
      <c r="R33" s="86"/>
      <c r="S33" s="86"/>
      <c r="T33" s="86"/>
      <c r="U33" s="86"/>
      <c r="V33" s="86"/>
      <c r="W33" s="86"/>
      <c r="X33" s="87"/>
      <c r="Y33" s="88" t="n">
        <v>5</v>
      </c>
      <c r="Z33" s="70" t="n">
        <f aca="false">Y33/9</f>
        <v>0.555555555555556</v>
      </c>
      <c r="AA33" s="89" t="n">
        <v>11</v>
      </c>
      <c r="AB33" s="70" t="n">
        <f aca="false">AA33/18</f>
        <v>0.611111111111111</v>
      </c>
      <c r="AC33" s="90"/>
      <c r="AD33" s="91" t="n">
        <f aca="false">SUM(Y33,AA33)</f>
        <v>16</v>
      </c>
      <c r="AE33" s="70" t="n">
        <f aca="false">AD33/27</f>
        <v>0.592592592592593</v>
      </c>
      <c r="AF33" s="84" t="n">
        <v>8</v>
      </c>
      <c r="AG33" s="75" t="n">
        <f aca="false">AF33/8</f>
        <v>1</v>
      </c>
      <c r="AH33" s="84" t="n">
        <v>8</v>
      </c>
      <c r="AI33" s="75" t="n">
        <f aca="false">AH33/8</f>
        <v>1</v>
      </c>
      <c r="AJ33" s="84" t="n">
        <v>10</v>
      </c>
      <c r="AK33" s="75" t="n">
        <f aca="false">AJ33/10</f>
        <v>1</v>
      </c>
      <c r="AL33" s="84"/>
      <c r="AM33" s="93" t="n">
        <f aca="false">SUM(AF33,AH33,AJ33)</f>
        <v>26</v>
      </c>
      <c r="AN33" s="75" t="n">
        <f aca="false">AM33/26</f>
        <v>1</v>
      </c>
      <c r="AO33" s="90"/>
      <c r="AP33" s="89" t="n">
        <f aca="false">AF33</f>
        <v>8</v>
      </c>
      <c r="AQ33" s="70" t="n">
        <f aca="false">AP33/$AP$3</f>
        <v>1</v>
      </c>
      <c r="AR33" s="73" t="str">
        <f aca="false">IF((AP33/AP$3)&gt;0.899999999999999,"ME",IF((AP33/AP$3)&gt;0.749999999999999,"MP",IF((AP33/AP$3)&gt;0.599999999999999,"DP","WB")))</f>
        <v>ME</v>
      </c>
      <c r="AS33" s="91" t="n">
        <f aca="false">Y33+AH33</f>
        <v>13</v>
      </c>
      <c r="AT33" s="70" t="n">
        <f aca="false">AS33/$AS$3</f>
        <v>0.8125</v>
      </c>
      <c r="AU33" s="79" t="str">
        <f aca="false">IF((AS33/AS$3)&gt;0.899999999999999,"ME",IF((AS33/AS$3)&gt;0.749999999999999,"MP",IF((AS33/AS$3)&gt;0.599999999999999,"DP","WB")))</f>
        <v>MP</v>
      </c>
      <c r="AV33" s="94" t="n">
        <f aca="false">AJ33+AA33</f>
        <v>21</v>
      </c>
      <c r="AW33" s="70" t="n">
        <f aca="false">AV33/$AV$3</f>
        <v>0.75</v>
      </c>
      <c r="AX33" s="79" t="str">
        <f aca="false">IF((AV33/AV$3)&gt;0.899999999999999,"ME",IF((AV33/AV$3)&gt;0.749999999999999,"MP",IF((AV33/AV$3)&gt;0.599999999999999,"DP","WB")))</f>
        <v>DP</v>
      </c>
      <c r="AY33" s="91"/>
    </row>
    <row r="34" customFormat="false" ht="15" hidden="false" customHeight="false" outlineLevel="0" collapsed="false">
      <c r="A34" s="63"/>
      <c r="B34" s="95" t="s">
        <v>105</v>
      </c>
      <c r="C34" s="60"/>
      <c r="D34" s="83" t="e">
        <f aca="false">#DIV/0!</f>
        <v>#DIV/0!</v>
      </c>
      <c r="E34" s="84" t="n">
        <v>5</v>
      </c>
      <c r="F34" s="84" t="n">
        <v>2</v>
      </c>
      <c r="G34" s="84" t="n">
        <v>6</v>
      </c>
      <c r="H34" s="84" t="n">
        <v>2</v>
      </c>
      <c r="I34" s="85" t="n">
        <v>16</v>
      </c>
      <c r="J34" s="84" t="n">
        <v>14</v>
      </c>
      <c r="K34" s="84" t="n">
        <v>22</v>
      </c>
      <c r="L34" s="84" t="n">
        <v>0</v>
      </c>
      <c r="M34" s="85" t="n">
        <v>17</v>
      </c>
      <c r="N34" s="85" t="n">
        <v>5</v>
      </c>
      <c r="O34" s="85" t="n">
        <v>2</v>
      </c>
      <c r="P34" s="86" t="n">
        <v>48</v>
      </c>
      <c r="Q34" s="86"/>
      <c r="R34" s="86" t="n">
        <v>27</v>
      </c>
      <c r="S34" s="86"/>
      <c r="T34" s="86" t="n">
        <v>0</v>
      </c>
      <c r="U34" s="86"/>
      <c r="V34" s="86" t="n">
        <v>2</v>
      </c>
      <c r="W34" s="86"/>
      <c r="X34" s="87"/>
      <c r="Y34" s="90"/>
      <c r="Z34" s="90" t="e">
        <f aca="false">#DIV/0!</f>
        <v>#DIV/0!</v>
      </c>
      <c r="AA34" s="90"/>
      <c r="AB34" s="90" t="e">
        <f aca="false">#DIV/0!</f>
        <v>#DIV/0!</v>
      </c>
      <c r="AC34" s="90" t="n">
        <v>2</v>
      </c>
      <c r="AD34" s="90"/>
      <c r="AE34" s="90" t="e">
        <f aca="false">#DIV/0!</f>
        <v>#DIV/0!</v>
      </c>
      <c r="AF34" s="84" t="e">
        <f aca="false">#DIV/0!</f>
        <v>#DIV/0!</v>
      </c>
      <c r="AG34" s="84"/>
      <c r="AH34" s="84" t="e">
        <f aca="false">#DIV/0!</f>
        <v>#DIV/0!</v>
      </c>
      <c r="AI34" s="84"/>
      <c r="AJ34" s="84" t="e">
        <f aca="false">#DIV/0!</f>
        <v>#DIV/0!</v>
      </c>
      <c r="AK34" s="84"/>
      <c r="AL34" s="84" t="e">
        <f aca="false">#DIV/0!</f>
        <v>#DIV/0!</v>
      </c>
      <c r="AM34" s="84"/>
      <c r="AN34" s="84"/>
      <c r="AO34" s="90" t="e">
        <f aca="false">#DIV/0!</f>
        <v>#DIV/0!</v>
      </c>
      <c r="AP34" s="96" t="e">
        <f aca="false">#DIV/0!</f>
        <v>#DIV/0!</v>
      </c>
      <c r="AQ34" s="91"/>
      <c r="AR34" s="91"/>
      <c r="AS34" s="91" t="n">
        <v>26</v>
      </c>
      <c r="AT34" s="91"/>
      <c r="AU34" s="91"/>
      <c r="AV34" s="91" t="e">
        <f aca="false">#DIV/0!</f>
        <v>#DIV/0!</v>
      </c>
      <c r="AW34" s="91"/>
      <c r="AX34" s="91"/>
      <c r="AY34" s="91" t="e">
        <f aca="false">#DIV/0!</f>
        <v>#DIV/0!</v>
      </c>
    </row>
    <row r="35" customFormat="false" ht="15" hidden="false" customHeight="false" outlineLevel="0" collapsed="false">
      <c r="A35" s="63"/>
      <c r="B35" s="95" t="s">
        <v>106</v>
      </c>
      <c r="C35" s="60"/>
      <c r="D35" s="83"/>
      <c r="E35" s="97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98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</row>
    <row r="36" customFormat="false" ht="13.5" hidden="false" customHeight="true" outlineLevel="0" collapsed="false">
      <c r="A36" s="63"/>
      <c r="B36" s="95" t="s">
        <v>107</v>
      </c>
      <c r="C36" s="60"/>
      <c r="D36" s="83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100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9"/>
      <c r="AQ36" s="99"/>
      <c r="AR36" s="99"/>
      <c r="AS36" s="99"/>
      <c r="AT36" s="83"/>
      <c r="AU36" s="83"/>
      <c r="AV36" s="83"/>
      <c r="AW36" s="83"/>
      <c r="AX36" s="83"/>
      <c r="AY36" s="83"/>
    </row>
    <row r="37" customFormat="false" ht="19.5" hidden="false" customHeight="true" outlineLevel="0" collapsed="false">
      <c r="B37" s="101"/>
      <c r="C37" s="102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3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2"/>
      <c r="AN37" s="101"/>
      <c r="AO37" s="101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</sheetData>
  <mergeCells count="15">
    <mergeCell ref="A1:C1"/>
    <mergeCell ref="E1:H1"/>
    <mergeCell ref="J1:L1"/>
    <mergeCell ref="M1:O1"/>
    <mergeCell ref="P1:W1"/>
    <mergeCell ref="Y1:AE1"/>
    <mergeCell ref="AF1:AN1"/>
    <mergeCell ref="AO1:AY1"/>
    <mergeCell ref="Y2:Z2"/>
    <mergeCell ref="AA2:AB2"/>
    <mergeCell ref="AD2:AE2"/>
    <mergeCell ref="AF2:AG2"/>
    <mergeCell ref="AH2:AI2"/>
    <mergeCell ref="AJ2:AK2"/>
    <mergeCell ref="AM2:AN2"/>
  </mergeCells>
  <printOptions headings="false" gridLines="true" gridLinesSet="true" horizontalCentered="true" verticalCentered="false"/>
  <pageMargins left="0.7" right="0.7" top="0.75" bottom="0.75" header="0.511805555555555" footer="0.511805555555555"/>
  <pageSetup paperSize="1" scale="100" firstPageNumber="0" fitToWidth="1" fitToHeight="1" pageOrder="overThenDown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2018-09-19T05:14:24Z</dcterms:created>
  <dc:creator>adam.j.major@gmail.com</dc:creator>
  <dc:description/>
  <dc:language>en-US</dc:language>
  <cp:lastModifiedBy/>
  <dcterms:modified xsi:type="dcterms:W3CDTF">2021-03-29T11:41:33Z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